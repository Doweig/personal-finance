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sh" sheetId="1" r:id="rId5"/>
    <sheet state="visible" name="Mozza EMQ val." sheetId="2" r:id="rId6"/>
    <sheet state="visible" name="Mozza EMQ div." sheetId="3" r:id="rId7"/>
    <sheet state="visible" name="Cocotte 39 val." sheetId="4" r:id="rId8"/>
    <sheet state="visible" name="Cocotte 39 div." sheetId="5" r:id="rId9"/>
    <sheet state="visible" name="Mozza PRG val." sheetId="6" r:id="rId10"/>
    <sheet state="visible" name="Mozza PRG div." sheetId="7" r:id="rId11"/>
    <sheet state="visible" name="Mozza ICSM val." sheetId="8" r:id="rId12"/>
    <sheet state="visible" name="Mozza ICSM div." sheetId="9" r:id="rId13"/>
    <sheet state="visible" name="Mozza CP val." sheetId="10" r:id="rId14"/>
    <sheet state="visible" name="Mozza CP div." sheetId="11" r:id="rId15"/>
    <sheet state="hidden" name="Cocotte 24" sheetId="12" r:id="rId16"/>
    <sheet state="hidden" name="Mozza EMQ 24" sheetId="13" r:id="rId17"/>
    <sheet state="hidden" name="Cocotte 23" sheetId="14" r:id="rId18"/>
    <sheet state="hidden" name="Mozza EMQ 23" sheetId="15" r:id="rId19"/>
    <sheet state="hidden" name="Cocotte 22" sheetId="16" r:id="rId20"/>
    <sheet state="hidden" name="Mozza EMQ 22" sheetId="17" r:id="rId21"/>
  </sheets>
  <definedNames/>
  <calcPr/>
</workbook>
</file>

<file path=xl/sharedStrings.xml><?xml version="1.0" encoding="utf-8"?>
<sst xmlns="http://schemas.openxmlformats.org/spreadsheetml/2006/main" count="1747" uniqueCount="115">
  <si>
    <t>Date</t>
  </si>
  <si>
    <t>Profit</t>
  </si>
  <si>
    <t>Revenue</t>
  </si>
  <si>
    <t>MonthYear</t>
  </si>
  <si>
    <t>revenue THB</t>
  </si>
  <si>
    <t>net income</t>
  </si>
  <si>
    <t>earnings yield</t>
  </si>
  <si>
    <t>ey 12sma</t>
  </si>
  <si>
    <t>revenue 12sma</t>
  </si>
  <si>
    <t>net income 12msma</t>
  </si>
  <si>
    <t>revenu val</t>
  </si>
  <si>
    <t>net income val</t>
  </si>
  <si>
    <t>Valuation based on 12m of revenue</t>
  </si>
  <si>
    <t>Valuation based on 12m of net income x4</t>
  </si>
  <si>
    <t>average of the 2</t>
  </si>
  <si>
    <t>my shares:</t>
  </si>
  <si>
    <t>%</t>
  </si>
  <si>
    <t>total (THB)</t>
  </si>
  <si>
    <t>USD rate</t>
  </si>
  <si>
    <t>total (USD)</t>
  </si>
  <si>
    <t>% of shares</t>
  </si>
  <si>
    <t>Comment</t>
  </si>
  <si>
    <t>12mma</t>
  </si>
  <si>
    <t>revenue 12mma</t>
  </si>
  <si>
    <t>from 8th to 30th of september</t>
  </si>
  <si>
    <t>4 of val from 4th to 31st of october</t>
  </si>
  <si>
    <t>Total</t>
  </si>
  <si>
    <t>% of buy price</t>
  </si>
  <si>
    <t>per 1%</t>
  </si>
  <si>
    <t>valo</t>
  </si>
  <si>
    <t>per point</t>
  </si>
  <si>
    <t>monthly avg</t>
  </si>
  <si>
    <t># month to ROI</t>
  </si>
  <si>
    <t>amount</t>
  </si>
  <si>
    <t>in years</t>
  </si>
  <si>
    <t>total THB</t>
  </si>
  <si>
    <t>THB</t>
  </si>
  <si>
    <t>Multiplier</t>
  </si>
  <si>
    <t>total USD</t>
  </si>
  <si>
    <t>USD</t>
  </si>
  <si>
    <t>total per 1%</t>
  </si>
  <si>
    <t>dividends per 1%</t>
  </si>
  <si>
    <t>Jeff Shares paid in USD, and profits in THB</t>
  </si>
  <si>
    <t>From contract:</t>
  </si>
  <si>
    <t>annualized IRR</t>
  </si>
  <si>
    <t>Shares</t>
  </si>
  <si>
    <t>Shares USD</t>
  </si>
  <si>
    <t>Left to collect 0</t>
  </si>
  <si>
    <t>Month est.</t>
  </si>
  <si>
    <t>months</t>
  </si>
  <si>
    <t>undistributed profits</t>
  </si>
  <si>
    <t>years</t>
  </si>
  <si>
    <t>Resume:</t>
  </si>
  <si>
    <t>Held for</t>
  </si>
  <si>
    <t>Purchase date</t>
  </si>
  <si>
    <t>Valentin, paid in THB</t>
  </si>
  <si>
    <t>12m ma</t>
  </si>
  <si>
    <t>from 8 to 31Oct</t>
  </si>
  <si>
    <t>&lt; current val</t>
  </si>
  <si>
    <t>est. ROI at pur.</t>
  </si>
  <si>
    <t>Jeff Shares paid in USD</t>
  </si>
  <si>
    <t>Adriend, paid in THB</t>
  </si>
  <si>
    <t>Jan</t>
  </si>
  <si>
    <t>Feb</t>
  </si>
  <si>
    <t>Mar</t>
  </si>
  <si>
    <t>Apr</t>
  </si>
  <si>
    <t>15-Cocotte</t>
  </si>
  <si>
    <t>TOTAL REVENUE</t>
  </si>
  <si>
    <t>TOTAL REVENUE N-1</t>
  </si>
  <si>
    <t>Diff N-1</t>
  </si>
  <si>
    <t>Rebate</t>
  </si>
  <si>
    <t>- Food cost</t>
  </si>
  <si>
    <t>- Beverage cost</t>
  </si>
  <si>
    <t>Total F&amp;B Cost</t>
  </si>
  <si>
    <t>Total F&amp;B Coef</t>
  </si>
  <si>
    <t>Total Other Ex</t>
  </si>
  <si>
    <t>TOTAL MONTHLY EXP</t>
  </si>
  <si>
    <t>GOP before fee</t>
  </si>
  <si>
    <t>Other and Special Fee</t>
  </si>
  <si>
    <t>Monthly Provision</t>
  </si>
  <si>
    <t>GOP NET</t>
  </si>
  <si>
    <t>Share (1%)</t>
  </si>
  <si>
    <t>Ratios</t>
  </si>
  <si>
    <t>% General Expense</t>
  </si>
  <si>
    <t>Coeff on Item</t>
  </si>
  <si>
    <t>Total energy</t>
  </si>
  <si>
    <t>Salary &amp; Bonus</t>
  </si>
  <si>
    <t>Food Coef</t>
  </si>
  <si>
    <t>Grill Coef</t>
  </si>
  <si>
    <t>Ice Cream Coef</t>
  </si>
  <si>
    <t>Ice Pan Coef</t>
  </si>
  <si>
    <t>Seafood Coef</t>
  </si>
  <si>
    <t>Bev Coef</t>
  </si>
  <si>
    <t>Wine Coef</t>
  </si>
  <si>
    <t>Total Food Coef</t>
  </si>
  <si>
    <t>Total Bev Coef</t>
  </si>
  <si>
    <t>F&amp;B Coef</t>
  </si>
  <si>
    <t>Rental</t>
  </si>
  <si>
    <t>Marketing</t>
  </si>
  <si>
    <t>Maintenance</t>
  </si>
  <si>
    <t>GOP</t>
  </si>
  <si>
    <t>17-Mozza</t>
  </si>
  <si>
    <t>May</t>
  </si>
  <si>
    <t>Jun</t>
  </si>
  <si>
    <t>Jul</t>
  </si>
  <si>
    <t>Aug</t>
  </si>
  <si>
    <t>Sep</t>
  </si>
  <si>
    <t>Oct</t>
  </si>
  <si>
    <t>Nov</t>
  </si>
  <si>
    <t>Dec</t>
  </si>
  <si>
    <t>12-Cocotte</t>
  </si>
  <si>
    <t>October</t>
  </si>
  <si>
    <t>November</t>
  </si>
  <si>
    <t>December</t>
  </si>
  <si>
    <t>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</si>
</sst>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/d/yyyy"/>
    <numFmt numFmtId="166" formatCode="#,##0;(#,##0)"/>
    <numFmt numFmtId="167" formatCode="#,##0.00;(#,##0.00)"/>
    <numFmt numFmtId="168" formatCode="_(&quot;$&quot;* #,##0.00_);_(&quot;$&quot;* \(#,##0.00\);_(&quot;$&quot;* &quot;-&quot;??_);_(@_)"/>
    <numFmt numFmtId="169" formatCode="#,##0.000;(#,##0.000)"/>
    <numFmt numFmtId="170" formatCode="mmmm 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0.0"/>
      <color theme="1"/>
      <name val="Calibri"/>
    </font>
    <font/>
    <font>
      <sz val="10.0"/>
      <color theme="1"/>
      <name val="Arial"/>
      <scheme val="minor"/>
    </font>
    <font>
      <sz val="10.0"/>
      <color rgb="FF000000"/>
      <name val="Calibri"/>
    </font>
    <font>
      <sz val="10.0"/>
      <color theme="1"/>
      <name val="Aptos"/>
    </font>
    <font>
      <b/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Arial"/>
    </font>
    <font>
      <b/>
      <sz val="10.0"/>
      <color rgb="FF000000"/>
      <name val="Aptos"/>
    </font>
    <font>
      <sz val="10.0"/>
      <color theme="1"/>
      <name val="Calibri"/>
    </font>
    <font>
      <sz val="10.0"/>
      <color rgb="FFFFFFFF"/>
      <name val="Calibri"/>
    </font>
    <font>
      <sz val="10.0"/>
      <color theme="1"/>
      <name val="Helvetica"/>
    </font>
    <font>
      <sz val="10.0"/>
      <color rgb="FFFFFFFF"/>
      <name val="Arial"/>
    </font>
    <font>
      <sz val="10.0"/>
      <color rgb="FFFFFFFF"/>
      <name val="Helvetica"/>
    </font>
    <font>
      <sz val="10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FF6600"/>
        <bgColor rgb="FFFF6600"/>
      </patternFill>
    </fill>
    <fill>
      <patternFill patternType="solid">
        <fgColor rgb="FFFF0000"/>
        <bgColor rgb="FFFF0000"/>
      </patternFill>
    </fill>
    <fill>
      <patternFill patternType="solid">
        <fgColor rgb="FFEEECE1"/>
        <bgColor rgb="FFEEECE1"/>
      </patternFill>
    </fill>
    <fill>
      <patternFill patternType="solid">
        <fgColor rgb="FFFFC000"/>
        <bgColor rgb="FFFFC000"/>
      </patternFill>
    </fill>
  </fills>
  <borders count="10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2" fontId="1" numFmtId="10" xfId="0" applyFill="1" applyFont="1" applyNumberFormat="1"/>
    <xf borderId="0" fillId="0" fontId="1" numFmtId="166" xfId="0" applyFont="1" applyNumberFormat="1"/>
    <xf borderId="0" fillId="3" fontId="1" numFmtId="10" xfId="0" applyFill="1" applyFont="1" applyNumberFormat="1"/>
    <xf borderId="0" fillId="3" fontId="1" numFmtId="166" xfId="0" applyFont="1" applyNumberFormat="1"/>
    <xf borderId="0" fillId="3" fontId="1" numFmtId="0" xfId="0" applyFont="1"/>
    <xf borderId="0" fillId="4" fontId="1" numFmtId="0" xfId="0" applyFill="1" applyFont="1"/>
    <xf borderId="0" fillId="4" fontId="1" numFmtId="166" xfId="0" applyFont="1" applyNumberFormat="1"/>
    <xf borderId="0" fillId="5" fontId="1" numFmtId="164" xfId="0" applyFill="1" applyFont="1" applyNumberFormat="1"/>
    <xf borderId="0" fillId="5" fontId="1" numFmtId="166" xfId="0" applyFont="1" applyNumberFormat="1"/>
    <xf borderId="0" fillId="5" fontId="1" numFmtId="10" xfId="0" applyFont="1" applyNumberFormat="1"/>
    <xf borderId="0" fillId="2" fontId="1" numFmtId="166" xfId="0" applyFont="1" applyNumberFormat="1"/>
    <xf borderId="0" fillId="0" fontId="1" numFmtId="0" xfId="0" applyFont="1"/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2" fontId="1" numFmtId="168" xfId="0" applyFont="1" applyNumberFormat="1"/>
    <xf borderId="0" fillId="0" fontId="1" numFmtId="2" xfId="0" applyAlignment="1" applyFont="1" applyNumberFormat="1">
      <alignment readingOrder="0"/>
    </xf>
    <xf borderId="0" fillId="0" fontId="1" numFmtId="167" xfId="0" applyFont="1" applyNumberFormat="1"/>
    <xf borderId="0" fillId="0" fontId="1" numFmtId="2" xfId="0" applyFont="1" applyNumberFormat="1"/>
    <xf borderId="0" fillId="3" fontId="1" numFmtId="167" xfId="0" applyFont="1" applyNumberFormat="1"/>
    <xf borderId="0" fillId="0" fontId="1" numFmtId="4" xfId="0" applyAlignment="1" applyFont="1" applyNumberFormat="1">
      <alignment readingOrder="0"/>
    </xf>
    <xf borderId="0" fillId="3" fontId="1" numFmtId="4" xfId="0" applyFont="1" applyNumberFormat="1"/>
    <xf borderId="0" fillId="4" fontId="1" numFmtId="167" xfId="0" applyFont="1" applyNumberFormat="1"/>
    <xf borderId="0" fillId="4" fontId="1" numFmtId="168" xfId="0" applyFont="1" applyNumberFormat="1"/>
    <xf borderId="0" fillId="5" fontId="1" numFmtId="167" xfId="0" applyFont="1" applyNumberFormat="1"/>
    <xf borderId="0" fillId="0" fontId="1" numFmtId="168" xfId="0" applyFont="1" applyNumberFormat="1"/>
    <xf borderId="0" fillId="5" fontId="1" numFmtId="168" xfId="0" applyFont="1" applyNumberFormat="1"/>
    <xf borderId="0" fillId="5" fontId="1" numFmtId="0" xfId="0" applyFont="1"/>
    <xf borderId="0" fillId="0" fontId="2" numFmtId="167" xfId="0" applyAlignment="1" applyFont="1" applyNumberFormat="1">
      <alignment readingOrder="0"/>
    </xf>
    <xf borderId="0" fillId="3" fontId="2" numFmtId="167" xfId="0" applyAlignment="1" applyFont="1" applyNumberFormat="1">
      <alignment readingOrder="0"/>
    </xf>
    <xf borderId="0" fillId="2" fontId="1" numFmtId="167" xfId="0" applyFont="1" applyNumberFormat="1"/>
    <xf borderId="0" fillId="6" fontId="1" numFmtId="166" xfId="0" applyFill="1" applyFont="1" applyNumberFormat="1"/>
    <xf borderId="0" fillId="0" fontId="2" numFmtId="0" xfId="0" applyAlignment="1" applyFont="1">
      <alignment readingOrder="0"/>
    </xf>
    <xf borderId="0" fillId="2" fontId="1" numFmtId="0" xfId="0" applyFont="1"/>
    <xf borderId="0" fillId="6" fontId="1" numFmtId="167" xfId="0" applyFont="1" applyNumberFormat="1"/>
    <xf borderId="0" fillId="6" fontId="1" numFmtId="0" xfId="0" applyAlignment="1" applyFont="1">
      <alignment readingOrder="0"/>
    </xf>
    <xf borderId="0" fillId="0" fontId="1" numFmtId="10" xfId="0" applyFont="1" applyNumberFormat="1"/>
    <xf borderId="0" fillId="6" fontId="1" numFmtId="3" xfId="0" applyAlignment="1" applyFont="1" applyNumberFormat="1">
      <alignment readingOrder="0"/>
    </xf>
    <xf borderId="0" fillId="7" fontId="2" numFmtId="10" xfId="0" applyFill="1" applyFont="1" applyNumberFormat="1"/>
    <xf borderId="0" fillId="2" fontId="1" numFmtId="2" xfId="0" applyAlignment="1" applyFont="1" applyNumberFormat="1">
      <alignment readingOrder="0"/>
    </xf>
    <xf borderId="0" fillId="2" fontId="1" numFmtId="2" xfId="0" applyFont="1" applyNumberFormat="1"/>
    <xf borderId="0" fillId="2" fontId="1" numFmtId="1" xfId="0" applyFont="1" applyNumberFormat="1"/>
    <xf borderId="0" fillId="0" fontId="3" numFmtId="0" xfId="0" applyAlignment="1" applyFont="1">
      <alignment vertical="bottom"/>
    </xf>
    <xf borderId="0" fillId="0" fontId="1" numFmtId="169" xfId="0" applyAlignment="1" applyFont="1" applyNumberFormat="1">
      <alignment readingOrder="0"/>
    </xf>
    <xf borderId="0" fillId="0" fontId="1" numFmtId="169" xfId="0" applyFont="1" applyNumberFormat="1"/>
    <xf borderId="0" fillId="0" fontId="1" numFmtId="0" xfId="0" applyFont="1"/>
    <xf borderId="0" fillId="5" fontId="1" numFmtId="164" xfId="0" applyAlignment="1" applyFont="1" applyNumberFormat="1">
      <alignment readingOrder="0"/>
    </xf>
    <xf borderId="0" fillId="5" fontId="1" numFmtId="167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6" fontId="1" numFmtId="167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1" fillId="0" fontId="4" numFmtId="0" xfId="0" applyAlignment="1" applyBorder="1" applyFont="1">
      <alignment horizontal="center" readingOrder="0" vertical="bottom"/>
    </xf>
    <xf borderId="2" fillId="0" fontId="5" numFmtId="0" xfId="0" applyBorder="1" applyFont="1"/>
    <xf borderId="0" fillId="8" fontId="6" numFmtId="0" xfId="0" applyAlignment="1" applyFill="1" applyFont="1">
      <alignment vertical="bottom"/>
    </xf>
    <xf borderId="3" fillId="9" fontId="7" numFmtId="0" xfId="0" applyAlignment="1" applyBorder="1" applyFill="1" applyFont="1">
      <alignment horizontal="center" readingOrder="0" vertical="bottom"/>
    </xf>
    <xf borderId="4" fillId="9" fontId="7" numFmtId="3" xfId="0" applyAlignment="1" applyBorder="1" applyFont="1" applyNumberFormat="1">
      <alignment horizontal="center" readingOrder="0" vertical="bottom"/>
    </xf>
    <xf borderId="5" fillId="8" fontId="6" numFmtId="0" xfId="0" applyAlignment="1" applyBorder="1" applyFont="1">
      <alignment vertical="bottom"/>
    </xf>
    <xf borderId="4" fillId="10" fontId="7" numFmtId="3" xfId="0" applyAlignment="1" applyBorder="1" applyFill="1" applyFont="1" applyNumberFormat="1">
      <alignment horizontal="center" readingOrder="0" vertical="bottom"/>
    </xf>
    <xf borderId="4" fillId="10" fontId="7" numFmtId="10" xfId="0" applyAlignment="1" applyBorder="1" applyFont="1" applyNumberFormat="1">
      <alignment horizontal="center" readingOrder="0" vertical="bottom"/>
    </xf>
    <xf borderId="4" fillId="11" fontId="7" numFmtId="3" xfId="0" applyAlignment="1" applyBorder="1" applyFill="1" applyFont="1" applyNumberFormat="1">
      <alignment horizontal="center" readingOrder="0" vertical="bottom"/>
    </xf>
    <xf borderId="4" fillId="11" fontId="7" numFmtId="10" xfId="0" applyAlignment="1" applyBorder="1" applyFont="1" applyNumberFormat="1">
      <alignment horizontal="center" readingOrder="0" vertical="bottom"/>
    </xf>
    <xf borderId="6" fillId="9" fontId="7" numFmtId="3" xfId="0" applyAlignment="1" applyBorder="1" applyFont="1" applyNumberForma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7" numFmtId="3" xfId="0" applyAlignment="1" applyBorder="1" applyFont="1" applyNumberFormat="1">
      <alignment horizontal="center" readingOrder="0" vertical="bottom"/>
    </xf>
    <xf borderId="7" fillId="12" fontId="7" numFmtId="0" xfId="0" applyAlignment="1" applyBorder="1" applyFill="1" applyFont="1">
      <alignment horizontal="center" readingOrder="0" vertical="bottom"/>
    </xf>
    <xf borderId="4" fillId="12" fontId="7" numFmtId="3" xfId="0" applyAlignment="1" applyBorder="1" applyFont="1" applyNumberFormat="1">
      <alignment horizontal="center" readingOrder="0" vertical="bottom"/>
    </xf>
    <xf borderId="7" fillId="2" fontId="7" numFmtId="0" xfId="0" applyAlignment="1" applyBorder="1" applyFont="1">
      <alignment horizontal="center" readingOrder="0" vertical="bottom"/>
    </xf>
    <xf borderId="4" fillId="2" fontId="7" numFmtId="10" xfId="0" applyAlignment="1" applyBorder="1" applyFont="1" applyNumberFormat="1">
      <alignment horizontal="center" readingOrder="0" vertical="bottom"/>
    </xf>
    <xf borderId="4" fillId="2" fontId="7" numFmtId="0" xfId="0" applyAlignment="1" applyBorder="1" applyFont="1">
      <alignment horizontal="center" readingOrder="0" vertical="bottom"/>
    </xf>
    <xf borderId="3" fillId="12" fontId="7" numFmtId="0" xfId="0" applyAlignment="1" applyBorder="1" applyFont="1">
      <alignment horizontal="center" readingOrder="0" vertical="bottom"/>
    </xf>
    <xf borderId="6" fillId="12" fontId="7" numFmtId="3" xfId="0" applyAlignment="1" applyBorder="1" applyFont="1" applyNumberFormat="1">
      <alignment horizontal="center" readingOrder="0" vertical="bottom"/>
    </xf>
    <xf borderId="3" fillId="8" fontId="6" numFmtId="0" xfId="0" applyAlignment="1" applyBorder="1" applyFont="1">
      <alignment vertical="bottom"/>
    </xf>
    <xf borderId="6" fillId="8" fontId="6" numFmtId="0" xfId="0" applyAlignment="1" applyBorder="1" applyFont="1">
      <alignment vertical="bottom"/>
    </xf>
    <xf borderId="3" fillId="13" fontId="7" numFmtId="0" xfId="0" applyAlignment="1" applyBorder="1" applyFill="1" applyFont="1">
      <alignment horizontal="center" readingOrder="0" vertical="bottom"/>
    </xf>
    <xf borderId="6" fillId="13" fontId="7" numFmtId="3" xfId="0" applyAlignment="1" applyBorder="1" applyFont="1" applyNumberFormat="1">
      <alignment horizontal="center" readingOrder="0" vertical="bottom"/>
    </xf>
    <xf borderId="6" fillId="13" fontId="6" numFmtId="0" xfId="0" applyAlignment="1" applyBorder="1" applyFont="1">
      <alignment vertical="bottom"/>
    </xf>
    <xf borderId="6" fillId="13" fontId="7" numFmtId="0" xfId="0" applyAlignment="1" applyBorder="1" applyFont="1">
      <alignment horizontal="center" readingOrder="0" vertical="bottom"/>
    </xf>
    <xf borderId="3" fillId="13" fontId="6" numFmtId="0" xfId="0" applyAlignment="1" applyBorder="1" applyFont="1">
      <alignment vertical="bottom"/>
    </xf>
    <xf borderId="7" fillId="13" fontId="7" numFmtId="0" xfId="0" applyAlignment="1" applyBorder="1" applyFont="1">
      <alignment horizontal="center" readingOrder="0" vertical="bottom"/>
    </xf>
    <xf borderId="4" fillId="13" fontId="7" numFmtId="3" xfId="0" applyAlignment="1" applyBorder="1" applyFont="1" applyNumberFormat="1">
      <alignment horizontal="center" readingOrder="0" vertical="bottom"/>
    </xf>
    <xf borderId="0" fillId="0" fontId="8" numFmtId="0" xfId="0" applyFont="1"/>
    <xf borderId="0" fillId="0" fontId="6" numFmtId="0" xfId="0" applyFont="1"/>
    <xf borderId="8" fillId="14" fontId="7" numFmtId="0" xfId="0" applyAlignment="1" applyBorder="1" applyFill="1" applyFont="1">
      <alignment horizontal="center" readingOrder="0" vertical="bottom"/>
    </xf>
    <xf borderId="9" fillId="14" fontId="7" numFmtId="0" xfId="0" applyAlignment="1" applyBorder="1" applyFont="1">
      <alignment horizontal="center" readingOrder="0" vertical="bottom"/>
    </xf>
    <xf borderId="8" fillId="14" fontId="9" numFmtId="0" xfId="0" applyAlignment="1" applyBorder="1" applyFont="1">
      <alignment horizontal="center" readingOrder="0" vertical="bottom"/>
    </xf>
    <xf borderId="9" fillId="14" fontId="9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4" fillId="0" fontId="9" numFmtId="9" xfId="0" applyAlignment="1" applyBorder="1" applyFont="1" applyNumberForma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readingOrder="0" vertical="bottom"/>
    </xf>
    <xf borderId="4" fillId="8" fontId="7" numFmtId="0" xfId="0" applyAlignment="1" applyBorder="1" applyFont="1">
      <alignment horizontal="center" readingOrder="0" vertical="bottom"/>
    </xf>
    <xf borderId="4" fillId="8" fontId="9" numFmtId="0" xfId="0" applyAlignment="1" applyBorder="1" applyFont="1">
      <alignment horizontal="center" readingOrder="0" vertical="bottom"/>
    </xf>
    <xf borderId="7" fillId="15" fontId="9" numFmtId="0" xfId="0" applyAlignment="1" applyBorder="1" applyFill="1" applyFont="1">
      <alignment horizontal="center" readingOrder="0" vertical="bottom"/>
    </xf>
    <xf borderId="4" fillId="15" fontId="9" numFmtId="9" xfId="0" applyAlignment="1" applyBorder="1" applyFont="1" applyNumberFormat="1">
      <alignment horizontal="center" readingOrder="0" vertical="bottom"/>
    </xf>
    <xf borderId="4" fillId="15" fontId="9" numFmtId="0" xfId="0" applyAlignment="1" applyBorder="1" applyFont="1">
      <alignment horizontal="center" readingOrder="0" vertical="bottom"/>
    </xf>
    <xf borderId="7" fillId="9" fontId="9" numFmtId="0" xfId="0" applyAlignment="1" applyBorder="1" applyFont="1">
      <alignment horizontal="center" readingOrder="0" vertical="bottom"/>
    </xf>
    <xf borderId="4" fillId="9" fontId="9" numFmtId="9" xfId="0" applyAlignment="1" applyBorder="1" applyFont="1" applyNumberFormat="1">
      <alignment horizontal="center" readingOrder="0" vertical="bottom"/>
    </xf>
    <xf borderId="4" fillId="9" fontId="9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vertical="bottom"/>
    </xf>
    <xf borderId="0" fillId="8" fontId="8" numFmtId="0" xfId="0" applyAlignment="1" applyFont="1">
      <alignment vertical="bottom"/>
    </xf>
    <xf borderId="5" fillId="0" fontId="12" numFmtId="0" xfId="0" applyAlignment="1" applyBorder="1" applyFont="1">
      <alignment vertical="bottom"/>
    </xf>
    <xf borderId="0" fillId="8" fontId="12" numFmtId="0" xfId="0" applyAlignment="1" applyFont="1">
      <alignment vertical="bottom"/>
    </xf>
    <xf borderId="7" fillId="13" fontId="9" numFmtId="0" xfId="0" applyAlignment="1" applyBorder="1" applyFont="1">
      <alignment horizontal="center" readingOrder="0" vertical="bottom"/>
    </xf>
    <xf borderId="4" fillId="13" fontId="9" numFmtId="10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3" numFmtId="170" xfId="0" applyAlignment="1" applyFont="1" applyNumberFormat="1">
      <alignment horizontal="left" readingOrder="0"/>
    </xf>
    <xf borderId="1" fillId="0" fontId="4" numFmtId="0" xfId="0" applyAlignment="1" applyBorder="1" applyFont="1">
      <alignment horizontal="center" readingOrder="0" vertical="bottom"/>
    </xf>
    <xf borderId="0" fillId="8" fontId="13" numFmtId="0" xfId="0" applyAlignment="1" applyFont="1">
      <alignment vertical="bottom"/>
    </xf>
    <xf borderId="3" fillId="9" fontId="7" numFmtId="0" xfId="0" applyAlignment="1" applyBorder="1" applyFont="1">
      <alignment horizontal="center" readingOrder="0" vertical="bottom"/>
    </xf>
    <xf borderId="4" fillId="9" fontId="7" numFmtId="3" xfId="0" applyAlignment="1" applyBorder="1" applyFont="1" applyNumberFormat="1">
      <alignment horizontal="center" readingOrder="0" vertical="bottom"/>
    </xf>
    <xf borderId="5" fillId="8" fontId="13" numFmtId="0" xfId="0" applyAlignment="1" applyBorder="1" applyFont="1">
      <alignment vertical="bottom"/>
    </xf>
    <xf borderId="4" fillId="10" fontId="7" numFmtId="3" xfId="0" applyAlignment="1" applyBorder="1" applyFont="1" applyNumberFormat="1">
      <alignment horizontal="center" readingOrder="0" vertical="bottom"/>
    </xf>
    <xf borderId="4" fillId="10" fontId="7" numFmtId="10" xfId="0" applyAlignment="1" applyBorder="1" applyFont="1" applyNumberFormat="1">
      <alignment horizontal="center" readingOrder="0" vertical="bottom"/>
    </xf>
    <xf borderId="4" fillId="11" fontId="7" numFmtId="3" xfId="0" applyAlignment="1" applyBorder="1" applyFont="1" applyNumberFormat="1">
      <alignment horizontal="center" readingOrder="0" vertical="bottom"/>
    </xf>
    <xf borderId="4" fillId="11" fontId="7" numFmtId="10" xfId="0" applyAlignment="1" applyBorder="1" applyFont="1" applyNumberFormat="1">
      <alignment horizontal="center" readingOrder="0" vertical="bottom"/>
    </xf>
    <xf borderId="6" fillId="9" fontId="7" numFmtId="3" xfId="0" applyAlignment="1" applyBorder="1" applyFont="1" applyNumberForma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7" numFmtId="3" xfId="0" applyAlignment="1" applyBorder="1" applyFont="1" applyNumberFormat="1">
      <alignment horizontal="center" readingOrder="0" vertical="bottom"/>
    </xf>
    <xf borderId="7" fillId="12" fontId="7" numFmtId="0" xfId="0" applyAlignment="1" applyBorder="1" applyFont="1">
      <alignment horizontal="center" readingOrder="0" vertical="bottom"/>
    </xf>
    <xf borderId="4" fillId="12" fontId="7" numFmtId="3" xfId="0" applyAlignment="1" applyBorder="1" applyFont="1" applyNumberFormat="1">
      <alignment horizontal="center" readingOrder="0" vertical="bottom"/>
    </xf>
    <xf borderId="7" fillId="2" fontId="7" numFmtId="0" xfId="0" applyAlignment="1" applyBorder="1" applyFont="1">
      <alignment horizontal="center" readingOrder="0"/>
    </xf>
    <xf borderId="4" fillId="2" fontId="7" numFmtId="10" xfId="0" applyAlignment="1" applyBorder="1" applyFont="1" applyNumberFormat="1">
      <alignment horizontal="center" readingOrder="0"/>
    </xf>
    <xf borderId="4" fillId="2" fontId="7" numFmtId="0" xfId="0" applyAlignment="1" applyBorder="1" applyFont="1">
      <alignment horizontal="center" readingOrder="0"/>
    </xf>
    <xf borderId="3" fillId="12" fontId="7" numFmtId="0" xfId="0" applyAlignment="1" applyBorder="1" applyFont="1">
      <alignment horizontal="center" readingOrder="0" vertical="bottom"/>
    </xf>
    <xf borderId="6" fillId="12" fontId="7" numFmtId="3" xfId="0" applyAlignment="1" applyBorder="1" applyFont="1" applyNumberFormat="1">
      <alignment horizontal="center" readingOrder="0" vertical="bottom"/>
    </xf>
    <xf borderId="3" fillId="8" fontId="13" numFmtId="0" xfId="0" applyAlignment="1" applyBorder="1" applyFont="1">
      <alignment vertical="bottom"/>
    </xf>
    <xf borderId="6" fillId="8" fontId="13" numFmtId="0" xfId="0" applyAlignment="1" applyBorder="1" applyFont="1">
      <alignment vertical="bottom"/>
    </xf>
    <xf borderId="3" fillId="13" fontId="7" numFmtId="0" xfId="0" applyAlignment="1" applyBorder="1" applyFont="1">
      <alignment horizontal="center" readingOrder="0" vertical="bottom"/>
    </xf>
    <xf borderId="6" fillId="13" fontId="7" numFmtId="3" xfId="0" applyAlignment="1" applyBorder="1" applyFont="1" applyNumberFormat="1">
      <alignment horizontal="center" readingOrder="0" vertical="bottom"/>
    </xf>
    <xf borderId="6" fillId="13" fontId="13" numFmtId="0" xfId="0" applyAlignment="1" applyBorder="1" applyFont="1">
      <alignment vertical="bottom"/>
    </xf>
    <xf borderId="6" fillId="13" fontId="7" numFmtId="0" xfId="0" applyAlignment="1" applyBorder="1" applyFont="1">
      <alignment horizontal="center" readingOrder="0" vertical="bottom"/>
    </xf>
    <xf borderId="3" fillId="13" fontId="13" numFmtId="0" xfId="0" applyAlignment="1" applyBorder="1" applyFont="1">
      <alignment vertical="bottom"/>
    </xf>
    <xf borderId="7" fillId="13" fontId="7" numFmtId="0" xfId="0" applyAlignment="1" applyBorder="1" applyFont="1">
      <alignment horizontal="center" readingOrder="0" vertical="bottom"/>
    </xf>
    <xf borderId="4" fillId="13" fontId="7" numFmtId="3" xfId="0" applyAlignment="1" applyBorder="1" applyFont="1" applyNumberFormat="1">
      <alignment horizontal="center" readingOrder="0" vertical="bottom"/>
    </xf>
    <xf borderId="0" fillId="0" fontId="14" numFmtId="0" xfId="0" applyFont="1"/>
    <xf borderId="8" fillId="14" fontId="7" numFmtId="0" xfId="0" applyAlignment="1" applyBorder="1" applyFont="1">
      <alignment horizontal="center" readingOrder="0" vertical="bottom"/>
    </xf>
    <xf borderId="9" fillId="14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bottom"/>
    </xf>
    <xf borderId="4" fillId="0" fontId="9" numFmtId="9" xfId="0" applyAlignment="1" applyBorder="1" applyFont="1" applyNumberFormat="1">
      <alignment horizontal="center" readingOrder="0" vertical="bottom"/>
    </xf>
    <xf borderId="6" fillId="0" fontId="14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right" readingOrder="0" vertical="bottom"/>
    </xf>
    <xf borderId="4" fillId="0" fontId="14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4" fillId="0" fontId="13" numFmtId="0" xfId="0" applyAlignment="1" applyBorder="1" applyFont="1">
      <alignment horizontal="right" readingOrder="0" vertical="bottom"/>
    </xf>
    <xf borderId="6" fillId="0" fontId="13" numFmtId="0" xfId="0" applyAlignment="1" applyBorder="1" applyFont="1">
      <alignment horizontal="center" readingOrder="0" vertical="bottom"/>
    </xf>
    <xf borderId="4" fillId="8" fontId="7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readingOrder="0" vertical="bottom"/>
    </xf>
    <xf borderId="7" fillId="15" fontId="9" numFmtId="0" xfId="0" applyAlignment="1" applyBorder="1" applyFont="1">
      <alignment horizontal="center" readingOrder="0" vertical="bottom"/>
    </xf>
    <xf borderId="4" fillId="15" fontId="9" numFmtId="9" xfId="0" applyAlignment="1" applyBorder="1" applyFont="1" applyNumberFormat="1">
      <alignment horizontal="center" readingOrder="0" vertical="bottom"/>
    </xf>
    <xf borderId="4" fillId="15" fontId="9" numFmtId="0" xfId="0" applyAlignment="1" applyBorder="1" applyFont="1">
      <alignment horizontal="center" readingOrder="0" vertical="bottom"/>
    </xf>
    <xf borderId="7" fillId="9" fontId="9" numFmtId="0" xfId="0" applyAlignment="1" applyBorder="1" applyFont="1">
      <alignment horizontal="center" readingOrder="0" vertical="bottom"/>
    </xf>
    <xf borderId="4" fillId="9" fontId="9" numFmtId="9" xfId="0" applyAlignment="1" applyBorder="1" applyFont="1" applyNumberFormat="1">
      <alignment horizontal="center" readingOrder="0" vertical="bottom"/>
    </xf>
    <xf borderId="4" fillId="9" fontId="9" numFmtId="0" xfId="0" applyAlignment="1" applyBorder="1" applyFont="1">
      <alignment horizontal="center" readingOrder="0" vertical="bottom"/>
    </xf>
    <xf borderId="5" fillId="0" fontId="14" numFmtId="0" xfId="0" applyAlignment="1" applyBorder="1" applyFont="1">
      <alignment vertical="bottom"/>
    </xf>
    <xf borderId="0" fillId="8" fontId="14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7" fillId="13" fontId="9" numFmtId="0" xfId="0" applyAlignment="1" applyBorder="1" applyFont="1">
      <alignment horizontal="center" readingOrder="0" vertical="bottom"/>
    </xf>
    <xf borderId="4" fillId="13" fontId="9" numFmtId="10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8" fontId="15" numFmtId="0" xfId="0" applyAlignment="1" applyFont="1">
      <alignment vertical="bottom"/>
    </xf>
    <xf borderId="0" fillId="0" fontId="7" numFmtId="0" xfId="0" applyAlignment="1" applyFont="1">
      <alignment horizontal="center" readingOrder="0" vertical="bottom"/>
    </xf>
    <xf borderId="0" fillId="2" fontId="7" numFmtId="167" xfId="0" applyAlignment="1" applyFont="1" applyNumberFormat="1">
      <alignment horizontal="center" readingOrder="0" vertical="bottom"/>
    </xf>
    <xf borderId="5" fillId="8" fontId="15" numFmtId="0" xfId="0" applyAlignment="1" applyBorder="1" applyFont="1">
      <alignment vertical="bottom"/>
    </xf>
    <xf borderId="0" fillId="0" fontId="7" numFmtId="0" xfId="0" applyAlignment="1" applyFont="1">
      <alignment horizontal="center" readingOrder="0"/>
    </xf>
    <xf borderId="7" fillId="2" fontId="7" numFmtId="0" xfId="0" applyAlignment="1" applyBorder="1" applyFont="1">
      <alignment horizontal="center" readingOrder="0"/>
    </xf>
    <xf borderId="4" fillId="2" fontId="7" numFmtId="10" xfId="0" applyAlignment="1" applyBorder="1" applyFont="1" applyNumberFormat="1">
      <alignment horizontal="center" readingOrder="0"/>
    </xf>
    <xf borderId="4" fillId="2" fontId="7" numFmtId="0" xfId="0" applyAlignment="1" applyBorder="1" applyFont="1">
      <alignment horizontal="center" readingOrder="0"/>
    </xf>
    <xf borderId="0" fillId="0" fontId="6" numFmtId="0" xfId="0" applyAlignment="1" applyFont="1">
      <alignment vertical="bottom"/>
    </xf>
    <xf borderId="3" fillId="8" fontId="15" numFmtId="0" xfId="0" applyAlignment="1" applyBorder="1" applyFont="1">
      <alignment vertical="bottom"/>
    </xf>
    <xf borderId="6" fillId="8" fontId="15" numFmtId="0" xfId="0" applyAlignment="1" applyBorder="1" applyFont="1">
      <alignment vertical="bottom"/>
    </xf>
    <xf borderId="6" fillId="13" fontId="15" numFmtId="0" xfId="0" applyAlignment="1" applyBorder="1" applyFont="1">
      <alignment vertical="bottom"/>
    </xf>
    <xf borderId="3" fillId="13" fontId="15" numFmtId="0" xfId="0" applyAlignment="1" applyBorder="1" applyFont="1">
      <alignment vertical="bottom"/>
    </xf>
    <xf borderId="0" fillId="0" fontId="13" numFmtId="0" xfId="0" applyFont="1"/>
    <xf borderId="0" fillId="0" fontId="14" numFmtId="0" xfId="0" applyFont="1"/>
    <xf borderId="6" fillId="0" fontId="16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0" fillId="8" fontId="13" numFmtId="0" xfId="0" applyAlignment="1" applyFont="1">
      <alignment vertical="bottom"/>
    </xf>
    <xf borderId="5" fillId="0" fontId="17" numFmtId="0" xfId="0" applyAlignment="1" applyBorder="1" applyFont="1">
      <alignment vertical="bottom"/>
    </xf>
    <xf borderId="0" fillId="8" fontId="17" numFmtId="0" xfId="0" applyAlignment="1" applyFont="1">
      <alignment vertical="bottom"/>
    </xf>
    <xf borderId="6" fillId="0" fontId="17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4" fillId="0" fontId="17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5" fillId="8" fontId="13" numFmtId="0" xfId="0" applyAlignment="1" applyBorder="1" applyFont="1">
      <alignment vertical="bottom"/>
    </xf>
    <xf borderId="3" fillId="8" fontId="13" numFmtId="0" xfId="0" applyAlignment="1" applyBorder="1" applyFont="1">
      <alignment vertical="bottom"/>
    </xf>
    <xf borderId="6" fillId="8" fontId="13" numFmtId="0" xfId="0" applyAlignment="1" applyBorder="1" applyFont="1">
      <alignment vertical="bottom"/>
    </xf>
    <xf borderId="6" fillId="13" fontId="13" numFmtId="0" xfId="0" applyAlignment="1" applyBorder="1" applyFont="1">
      <alignment vertical="bottom"/>
    </xf>
    <xf borderId="3" fillId="13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Cocotte - Profit and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Dash!$A$2:$A$19</c:f>
            </c:strRef>
          </c:cat>
          <c:val>
            <c:numRef>
              <c:f>Dash!$B$2:$B$19</c:f>
              <c:numCache/>
            </c:numRef>
          </c:val>
          <c:smooth val="0"/>
        </c:ser>
        <c:ser>
          <c:idx val="1"/>
          <c:order val="1"/>
          <c:tx>
            <c:strRef>
              <c:f>Dash!$C$1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Dash!$A$2:$A$19</c:f>
            </c:strRef>
          </c:cat>
          <c:val>
            <c:numRef>
              <c:f>Dash!$C$2:$C$19</c:f>
              <c:numCache/>
            </c:numRef>
          </c:val>
          <c:smooth val="0"/>
        </c:ser>
        <c:axId val="260057101"/>
        <c:axId val="1484730334"/>
      </c:lineChart>
      <c:catAx>
        <c:axId val="260057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730334"/>
      </c:catAx>
      <c:valAx>
        <c:axId val="1484730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00571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Mozza - Profit and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Dash!$B$24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Dash!$A$25:$A$43</c:f>
            </c:strRef>
          </c:cat>
          <c:val>
            <c:numRef>
              <c:f>Dash!$B$25:$B$43</c:f>
              <c:numCache/>
            </c:numRef>
          </c:val>
          <c:smooth val="0"/>
        </c:ser>
        <c:ser>
          <c:idx val="1"/>
          <c:order val="1"/>
          <c:tx>
            <c:strRef>
              <c:f>Dash!$C$24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Dash!$A$25:$A$43</c:f>
            </c:strRef>
          </c:cat>
          <c:val>
            <c:numRef>
              <c:f>Dash!$C$25:$C$43</c:f>
              <c:numCache/>
            </c:numRef>
          </c:val>
          <c:smooth val="0"/>
        </c:ser>
        <c:axId val="1126617561"/>
        <c:axId val="1861045604"/>
      </c:lineChart>
      <c:catAx>
        <c:axId val="1126617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1045604"/>
      </c:catAx>
      <c:valAx>
        <c:axId val="1861045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617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'Mozza EMQ val.'!$A$1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'Mozza EMQ val.'!$A$2:$A$43</c:f>
            </c:strRef>
          </c:cat>
          <c:val>
            <c:numRef>
              <c:f>'Mozza EMQ val.'!$A$2:$A$43</c:f>
              <c:numCache/>
            </c:numRef>
          </c:val>
          <c:smooth val="0"/>
        </c:ser>
        <c:ser>
          <c:idx val="1"/>
          <c:order val="1"/>
          <c:tx>
            <c:strRef>
              <c:f>'Mozza EMQ val.'!$B$1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'Mozza EMQ val.'!$A$2:$A$43</c:f>
            </c:strRef>
          </c:cat>
          <c:val>
            <c:numRef>
              <c:f>'Mozza EMQ val.'!$B$2:$B$43</c:f>
              <c:numCache/>
            </c:numRef>
          </c:val>
          <c:smooth val="0"/>
        </c:ser>
        <c:ser>
          <c:idx val="2"/>
          <c:order val="2"/>
          <c:tx>
            <c:strRef>
              <c:f>'Mozza EMQ val.'!$C$1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'Mozza EMQ val.'!$A$2:$A$43</c:f>
            </c:strRef>
          </c:cat>
          <c:val>
            <c:numRef>
              <c:f>'Mozza EMQ val.'!$C$2:$C$43</c:f>
              <c:numCache/>
            </c:numRef>
          </c:val>
          <c:smooth val="0"/>
        </c:ser>
        <c:axId val="374327744"/>
        <c:axId val="1223995021"/>
      </c:lineChart>
      <c:catAx>
        <c:axId val="37432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995021"/>
      </c:catAx>
      <c:valAx>
        <c:axId val="1223995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4327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(THB) vs. Date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'Mozza EMQ div.'!$A$3:$A$48</c:f>
            </c:strRef>
          </c:cat>
          <c:val>
            <c:numRef>
              <c:f>'Mozza EMQ div.'!$B$3:$B$48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'Mozza EMQ div.'!$A$3:$A$48</c:f>
            </c:strRef>
          </c:cat>
          <c:val>
            <c:numRef>
              <c:f>'Mozza EMQ div.'!$G$3:$G$48</c:f>
              <c:numCache/>
            </c:numRef>
          </c:val>
          <c:smooth val="0"/>
        </c:ser>
        <c:axId val="277206415"/>
        <c:axId val="2004061059"/>
      </c:lineChart>
      <c:catAx>
        <c:axId val="277206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4061059"/>
      </c:catAx>
      <c:valAx>
        <c:axId val="2004061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(THB)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72064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'Cocotte 39 val.'!$A$1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'Cocotte 39 val.'!$A$2:$A$42</c:f>
            </c:strRef>
          </c:cat>
          <c:val>
            <c:numRef>
              <c:f>'Cocotte 39 val.'!$A$2:$A$42</c:f>
              <c:numCache/>
            </c:numRef>
          </c:val>
          <c:smooth val="0"/>
        </c:ser>
        <c:ser>
          <c:idx val="1"/>
          <c:order val="1"/>
          <c:tx>
            <c:strRef>
              <c:f>'Cocotte 39 val.'!$B$1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'Cocotte 39 val.'!$A$2:$A$42</c:f>
            </c:strRef>
          </c:cat>
          <c:val>
            <c:numRef>
              <c:f>'Cocotte 39 val.'!$B$2:$B$42</c:f>
              <c:numCache/>
            </c:numRef>
          </c:val>
          <c:smooth val="0"/>
        </c:ser>
        <c:ser>
          <c:idx val="2"/>
          <c:order val="2"/>
          <c:tx>
            <c:strRef>
              <c:f>'Cocotte 39 val.'!$C$1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'Cocotte 39 val.'!$A$2:$A$42</c:f>
            </c:strRef>
          </c:cat>
          <c:val>
            <c:numRef>
              <c:f>'Cocotte 39 val.'!$C$2:$C$42</c:f>
              <c:numCache/>
            </c:numRef>
          </c:val>
          <c:smooth val="0"/>
        </c:ser>
        <c:axId val="408678267"/>
        <c:axId val="851127876"/>
      </c:lineChart>
      <c:catAx>
        <c:axId val="408678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127876"/>
      </c:catAx>
      <c:valAx>
        <c:axId val="8511278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678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(THB) vs. Date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'Cocotte 39 div.'!$A$3:$A$49</c:f>
            </c:strRef>
          </c:cat>
          <c:val>
            <c:numRef>
              <c:f>'Cocotte 39 div.'!$B$3:$B$49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'Cocotte 39 div.'!$A$3:$A$49</c:f>
            </c:strRef>
          </c:cat>
          <c:val>
            <c:numRef>
              <c:f>'Cocotte 39 div.'!$G$3:$G$49</c:f>
              <c:numCache/>
            </c:numRef>
          </c:val>
          <c:smooth val="0"/>
        </c:ser>
        <c:axId val="6313198"/>
        <c:axId val="1807868726"/>
      </c:lineChart>
      <c:catAx>
        <c:axId val="6313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868726"/>
      </c:catAx>
      <c:valAx>
        <c:axId val="18078687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(THB)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31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'Mozza PRG val.'!$A$1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'Mozza PRG val.'!$A$2:$A$22</c:f>
            </c:strRef>
          </c:cat>
          <c:val>
            <c:numRef>
              <c:f>'Mozza PRG val.'!$A$2:$A$22</c:f>
              <c:numCache/>
            </c:numRef>
          </c:val>
          <c:smooth val="0"/>
        </c:ser>
        <c:ser>
          <c:idx val="1"/>
          <c:order val="1"/>
          <c:tx>
            <c:strRef>
              <c:f>'Mozza PRG val.'!$B$1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'Mozza PRG val.'!$A$2:$A$22</c:f>
            </c:strRef>
          </c:cat>
          <c:val>
            <c:numRef>
              <c:f>'Mozza PRG val.'!$B$2:$B$22</c:f>
              <c:numCache/>
            </c:numRef>
          </c:val>
          <c:smooth val="0"/>
        </c:ser>
        <c:ser>
          <c:idx val="2"/>
          <c:order val="2"/>
          <c:tx>
            <c:strRef>
              <c:f>'Mozza PRG val.'!$C$1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'Mozza PRG val.'!$A$2:$A$22</c:f>
            </c:strRef>
          </c:cat>
          <c:val>
            <c:numRef>
              <c:f>'Mozza PRG val.'!$C$2:$C$22</c:f>
              <c:numCache/>
            </c:numRef>
          </c:val>
          <c:smooth val="0"/>
        </c:ser>
        <c:axId val="139603916"/>
        <c:axId val="1213291716"/>
      </c:lineChart>
      <c:catAx>
        <c:axId val="1396039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3291716"/>
      </c:catAx>
      <c:valAx>
        <c:axId val="1213291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6039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(THB)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'Mozza PRG div.'!$B$1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'Mozza PRG div.'!$A$2:$A$22</c:f>
            </c:strRef>
          </c:cat>
          <c:val>
            <c:numRef>
              <c:f>'Mozza PRG div.'!$B$2:$B$22</c:f>
              <c:numCache/>
            </c:numRef>
          </c:val>
          <c:smooth val="0"/>
        </c:ser>
        <c:axId val="1636571867"/>
        <c:axId val="166375632"/>
      </c:lineChart>
      <c:catAx>
        <c:axId val="1636571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75632"/>
      </c:catAx>
      <c:valAx>
        <c:axId val="166375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(THB)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571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'Mozza ICSM val.'!$A$1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'Mozza ICSM val.'!$A$2:$A$18</c:f>
            </c:strRef>
          </c:cat>
          <c:val>
            <c:numRef>
              <c:f>'Mozza ICSM val.'!$A$2:$A$18</c:f>
              <c:numCache/>
            </c:numRef>
          </c:val>
          <c:smooth val="0"/>
        </c:ser>
        <c:ser>
          <c:idx val="1"/>
          <c:order val="1"/>
          <c:tx>
            <c:strRef>
              <c:f>'Mozza ICSM val.'!$B$1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'Mozza ICSM val.'!$A$2:$A$18</c:f>
            </c:strRef>
          </c:cat>
          <c:val>
            <c:numRef>
              <c:f>'Mozza ICSM val.'!$B$2:$B$18</c:f>
              <c:numCache/>
            </c:numRef>
          </c:val>
          <c:smooth val="0"/>
        </c:ser>
        <c:ser>
          <c:idx val="2"/>
          <c:order val="2"/>
          <c:tx>
            <c:strRef>
              <c:f>'Mozza ICSM val.'!$C$1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'Mozza ICSM val.'!$A$2:$A$18</c:f>
            </c:strRef>
          </c:cat>
          <c:val>
            <c:numRef>
              <c:f>'Mozza ICSM val.'!$C$2:$C$18</c:f>
              <c:numCache/>
            </c:numRef>
          </c:val>
          <c:smooth val="0"/>
        </c:ser>
        <c:axId val="162952618"/>
        <c:axId val="1362965867"/>
      </c:lineChart>
      <c:catAx>
        <c:axId val="162952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965867"/>
      </c:catAx>
      <c:valAx>
        <c:axId val="1362965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52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(THB) vs.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'Mozza ICSM div.'!$B$1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'Mozza ICSM div.'!$A$2:$A$22</c:f>
            </c:strRef>
          </c:cat>
          <c:val>
            <c:numRef>
              <c:f>'Mozza ICSM div.'!$B$2:$B$22</c:f>
              <c:numCache/>
            </c:numRef>
          </c:val>
          <c:smooth val="0"/>
        </c:ser>
        <c:axId val="594542563"/>
        <c:axId val="2136066006"/>
      </c:lineChart>
      <c:catAx>
        <c:axId val="594542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066006"/>
      </c:catAx>
      <c:valAx>
        <c:axId val="2136066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(THB)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4542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'Mozza CP val.'!$A$1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'Mozza CP val.'!$A$2:$A$7</c:f>
            </c:strRef>
          </c:cat>
          <c:val>
            <c:numRef>
              <c:f>'Mozza CP val.'!$A$2:$A$7</c:f>
              <c:numCache/>
            </c:numRef>
          </c:val>
          <c:smooth val="0"/>
        </c:ser>
        <c:ser>
          <c:idx val="1"/>
          <c:order val="1"/>
          <c:tx>
            <c:strRef>
              <c:f>'Mozza CP val.'!$B$1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'Mozza CP val.'!$A$2:$A$7</c:f>
            </c:strRef>
          </c:cat>
          <c:val>
            <c:numRef>
              <c:f>'Mozza CP val.'!$B$2:$B$7</c:f>
              <c:numCache/>
            </c:numRef>
          </c:val>
          <c:smooth val="0"/>
        </c:ser>
        <c:ser>
          <c:idx val="2"/>
          <c:order val="2"/>
          <c:tx>
            <c:strRef>
              <c:f>'Mozza CP val.'!$C$1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'Mozza CP val.'!$A$2:$A$7</c:f>
            </c:strRef>
          </c:cat>
          <c:val>
            <c:numRef>
              <c:f>'Mozza CP val.'!$C$2:$C$7</c:f>
              <c:numCache/>
            </c:numRef>
          </c:val>
          <c:smooth val="0"/>
        </c:ser>
        <c:axId val="1608862323"/>
        <c:axId val="1835886534"/>
      </c:lineChart>
      <c:catAx>
        <c:axId val="160886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886534"/>
      </c:catAx>
      <c:valAx>
        <c:axId val="1835886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862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1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209550</xdr:colOff>
      <xdr:row>24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20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247650</xdr:colOff>
      <xdr:row>2</xdr:row>
      <xdr:rowOff>95250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19</xdr:row>
      <xdr:rowOff>57150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2</xdr:row>
      <xdr:rowOff>28575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</xdr:row>
      <xdr:rowOff>57150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2</xdr:row>
      <xdr:rowOff>57150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</xdr:row>
      <xdr:rowOff>57150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2</xdr:row>
      <xdr:rowOff>57150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1</xdr:row>
      <xdr:rowOff>57150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44883.0</v>
      </c>
      <c r="B2" s="3">
        <v>8538840.0</v>
      </c>
      <c r="C2" s="3">
        <v>2551714.0</v>
      </c>
    </row>
    <row r="3">
      <c r="A3" s="2">
        <v>44914.0</v>
      </c>
      <c r="B3" s="3">
        <v>8626112.0</v>
      </c>
      <c r="C3" s="3">
        <v>2220671.0</v>
      </c>
    </row>
    <row r="4">
      <c r="A4" s="2">
        <v>44945.0</v>
      </c>
      <c r="B4" s="3">
        <v>1.1220178E7</v>
      </c>
      <c r="C4" s="3">
        <v>6435619.0</v>
      </c>
    </row>
    <row r="5">
      <c r="A5" s="2">
        <v>44973.0</v>
      </c>
      <c r="B5" s="3">
        <v>9020754.0</v>
      </c>
      <c r="C5" s="3">
        <v>2112083.0</v>
      </c>
    </row>
    <row r="6">
      <c r="A6" s="2">
        <v>45002.0</v>
      </c>
      <c r="B6" s="3">
        <v>8320339.0</v>
      </c>
      <c r="C6" s="3">
        <v>2668107.0</v>
      </c>
    </row>
    <row r="7">
      <c r="A7" s="2">
        <v>45026.0</v>
      </c>
      <c r="B7" s="3">
        <v>8526747.0</v>
      </c>
      <c r="C7" s="3">
        <v>2897695.0</v>
      </c>
    </row>
    <row r="8">
      <c r="A8" s="2">
        <v>45064.0</v>
      </c>
      <c r="B8" s="3">
        <v>8637974.0</v>
      </c>
      <c r="C8" s="3">
        <v>2532050.0</v>
      </c>
    </row>
    <row r="9">
      <c r="A9" s="2">
        <v>45091.0</v>
      </c>
      <c r="B9" s="3">
        <v>6292491.0</v>
      </c>
      <c r="C9" s="3">
        <v>933643.0</v>
      </c>
    </row>
    <row r="10" ht="3.75" customHeight="1">
      <c r="A10" s="2">
        <v>45126.0</v>
      </c>
      <c r="B10" s="3">
        <v>7341106.0</v>
      </c>
      <c r="C10" s="3">
        <v>2369844.0</v>
      </c>
    </row>
    <row r="11">
      <c r="A11" s="2">
        <v>45156.0</v>
      </c>
      <c r="B11" s="3">
        <v>7750553.0</v>
      </c>
      <c r="C11" s="3">
        <v>2417542.0</v>
      </c>
    </row>
    <row r="12">
      <c r="A12" s="2">
        <v>45187.0</v>
      </c>
      <c r="B12" s="3">
        <v>8099175.0</v>
      </c>
      <c r="C12" s="3">
        <v>2620421.0</v>
      </c>
    </row>
    <row r="13">
      <c r="A13" s="2">
        <v>45218.0</v>
      </c>
      <c r="B13" s="3">
        <v>6487223.0</v>
      </c>
      <c r="C13" s="3">
        <v>1080831.0</v>
      </c>
    </row>
    <row r="14">
      <c r="A14" s="2">
        <v>45247.0</v>
      </c>
      <c r="B14" s="3">
        <v>6867108.0</v>
      </c>
      <c r="C14" s="3">
        <v>2030593.0</v>
      </c>
    </row>
    <row r="15">
      <c r="A15" s="2">
        <v>45278.0</v>
      </c>
      <c r="B15" s="3">
        <v>7325392.0</v>
      </c>
      <c r="C15" s="3">
        <v>2240032.0</v>
      </c>
    </row>
    <row r="16">
      <c r="A16" s="2">
        <v>45309.0</v>
      </c>
      <c r="B16" s="3">
        <v>1.0815117E7</v>
      </c>
      <c r="C16" s="3">
        <v>5192306.0</v>
      </c>
    </row>
    <row r="17">
      <c r="A17" s="2">
        <v>45338.0</v>
      </c>
      <c r="B17" s="3">
        <v>7729558.0</v>
      </c>
      <c r="C17" s="3">
        <v>1065124.0</v>
      </c>
    </row>
    <row r="18">
      <c r="A18" s="2">
        <v>45366.0</v>
      </c>
      <c r="B18" s="3">
        <v>7628189.0</v>
      </c>
      <c r="C18" s="3">
        <v>1980939.0</v>
      </c>
    </row>
    <row r="19">
      <c r="A19" s="2">
        <v>45400.0</v>
      </c>
      <c r="B19" s="3">
        <v>8051225.0</v>
      </c>
      <c r="C19" s="3">
        <v>3380333.0</v>
      </c>
    </row>
    <row r="24">
      <c r="A24" s="1" t="s">
        <v>0</v>
      </c>
      <c r="B24" s="1" t="s">
        <v>1</v>
      </c>
      <c r="C24" s="1" t="s">
        <v>2</v>
      </c>
    </row>
    <row r="25">
      <c r="A25" s="2">
        <v>44853.0</v>
      </c>
      <c r="B25" s="3">
        <v>1.1374487E7</v>
      </c>
      <c r="C25" s="3">
        <v>3799777.0</v>
      </c>
    </row>
    <row r="26">
      <c r="A26" s="2">
        <v>44883.0</v>
      </c>
      <c r="B26" s="3">
        <v>1.2555252E7</v>
      </c>
      <c r="C26" s="3">
        <v>5530757.0</v>
      </c>
    </row>
    <row r="27">
      <c r="A27" s="2">
        <v>44914.0</v>
      </c>
      <c r="B27" s="3">
        <v>1.1503192E7</v>
      </c>
      <c r="C27" s="3">
        <v>4052869.0</v>
      </c>
    </row>
    <row r="28">
      <c r="A28" s="2">
        <v>44945.0</v>
      </c>
      <c r="B28" s="3">
        <v>1.5572906E7</v>
      </c>
      <c r="C28" s="3">
        <v>8190723.0</v>
      </c>
    </row>
    <row r="29">
      <c r="A29" s="2">
        <v>44973.0</v>
      </c>
      <c r="B29" s="3">
        <v>1.2922095E7</v>
      </c>
      <c r="C29" s="3">
        <v>4462837.0</v>
      </c>
    </row>
    <row r="30">
      <c r="A30" s="2">
        <v>45002.0</v>
      </c>
      <c r="B30" s="3">
        <v>1.0978262E7</v>
      </c>
      <c r="C30" s="3">
        <v>4429339.0</v>
      </c>
    </row>
    <row r="31">
      <c r="A31" s="2">
        <v>45026.0</v>
      </c>
      <c r="B31" s="3">
        <v>1.146116E7</v>
      </c>
      <c r="C31" s="3">
        <v>4873757.0</v>
      </c>
    </row>
    <row r="32">
      <c r="A32" s="2">
        <v>45064.0</v>
      </c>
      <c r="B32" s="3">
        <v>1.1150387E7</v>
      </c>
      <c r="C32" s="3">
        <v>4447879.0</v>
      </c>
    </row>
    <row r="33">
      <c r="A33" s="2">
        <v>45091.0</v>
      </c>
      <c r="B33" s="3">
        <v>1.0721919E7</v>
      </c>
      <c r="C33" s="3">
        <v>4135974.0</v>
      </c>
    </row>
    <row r="34">
      <c r="A34" s="2">
        <v>45126.0</v>
      </c>
      <c r="B34" s="3">
        <v>1.0871344E7</v>
      </c>
      <c r="C34" s="3">
        <v>4151117.0</v>
      </c>
    </row>
    <row r="35">
      <c r="A35" s="4">
        <v>45156.0</v>
      </c>
      <c r="B35" s="3">
        <v>1.146338E7</v>
      </c>
      <c r="C35" s="3">
        <v>4849487.0</v>
      </c>
    </row>
    <row r="36">
      <c r="A36" s="2">
        <v>45187.0</v>
      </c>
      <c r="B36" s="3">
        <v>1.1021381E7</v>
      </c>
      <c r="C36" s="3">
        <v>4439586.0</v>
      </c>
    </row>
    <row r="37">
      <c r="A37" s="2">
        <v>45218.0</v>
      </c>
      <c r="B37" s="3">
        <v>1.035829E7</v>
      </c>
      <c r="C37" s="3">
        <v>3979618.0</v>
      </c>
    </row>
    <row r="38">
      <c r="A38" s="2">
        <v>45247.0</v>
      </c>
      <c r="B38" s="3">
        <v>1.0823579E7</v>
      </c>
      <c r="C38" s="3">
        <v>4201784.0</v>
      </c>
    </row>
    <row r="39">
      <c r="A39" s="2">
        <v>45278.0</v>
      </c>
      <c r="B39" s="3">
        <v>1.1230688E7</v>
      </c>
      <c r="C39" s="3">
        <v>4666889.0</v>
      </c>
    </row>
    <row r="40">
      <c r="A40" s="2">
        <v>45309.0</v>
      </c>
      <c r="B40" s="3">
        <v>1.3888855E7</v>
      </c>
      <c r="C40" s="3">
        <v>6490224.0</v>
      </c>
    </row>
    <row r="41">
      <c r="A41" s="2">
        <v>45338.0</v>
      </c>
      <c r="B41" s="3">
        <v>1.085367E7</v>
      </c>
      <c r="C41" s="3">
        <v>2568708.0</v>
      </c>
    </row>
    <row r="42">
      <c r="A42" s="2">
        <v>45366.0</v>
      </c>
      <c r="B42" s="3">
        <v>1.1174246E7</v>
      </c>
      <c r="C42" s="3">
        <v>3932528.0</v>
      </c>
    </row>
    <row r="43">
      <c r="A43" s="2">
        <v>45400.0</v>
      </c>
      <c r="B43" s="3">
        <v>1.0645108E7</v>
      </c>
      <c r="C43" s="3">
        <v>3791660.0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6.0"/>
  </cols>
  <sheetData>
    <row r="1">
      <c r="A1" s="1" t="s">
        <v>3</v>
      </c>
      <c r="B1" s="5" t="s">
        <v>4</v>
      </c>
      <c r="C1" s="5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>
        <v>44812.0</v>
      </c>
      <c r="B2" s="5">
        <v>1.1374487E7</v>
      </c>
      <c r="C2" s="5">
        <v>3799777.0</v>
      </c>
      <c r="D2" s="6">
        <f t="shared" ref="D2:D43" si="1">C2/B2</f>
        <v>0.3340613955</v>
      </c>
    </row>
    <row r="3">
      <c r="A3" s="2">
        <v>44853.0</v>
      </c>
      <c r="B3" s="5">
        <v>1.2555252E7</v>
      </c>
      <c r="C3" s="5">
        <v>5530757.0</v>
      </c>
      <c r="D3" s="6">
        <f t="shared" si="1"/>
        <v>0.4405134202</v>
      </c>
    </row>
    <row r="4">
      <c r="A4" s="2">
        <v>44883.0</v>
      </c>
      <c r="B4" s="5">
        <v>1.1503192E7</v>
      </c>
      <c r="C4" s="5">
        <v>4052869.0</v>
      </c>
      <c r="D4" s="6">
        <f t="shared" si="1"/>
        <v>0.352325598</v>
      </c>
    </row>
    <row r="5">
      <c r="A5" s="2">
        <v>44914.0</v>
      </c>
      <c r="B5" s="5">
        <v>1.5572906E7</v>
      </c>
      <c r="C5" s="5">
        <v>8190723.0</v>
      </c>
      <c r="D5" s="6">
        <f t="shared" si="1"/>
        <v>0.5259598305</v>
      </c>
    </row>
    <row r="6">
      <c r="A6" s="2">
        <v>44945.0</v>
      </c>
      <c r="B6" s="5">
        <v>1.2922095E7</v>
      </c>
      <c r="C6" s="5">
        <v>4462837.0</v>
      </c>
      <c r="D6" s="6">
        <f t="shared" si="1"/>
        <v>0.3453648189</v>
      </c>
    </row>
    <row r="7">
      <c r="A7" s="2">
        <v>44973.0</v>
      </c>
      <c r="B7" s="5">
        <v>1.0978262E7</v>
      </c>
      <c r="C7" s="5">
        <v>4429339.0</v>
      </c>
      <c r="D7" s="6">
        <f t="shared" si="1"/>
        <v>0.403464501</v>
      </c>
    </row>
    <row r="8">
      <c r="A8" s="2">
        <v>45002.0</v>
      </c>
      <c r="B8" s="5">
        <v>1.146116E7</v>
      </c>
      <c r="C8" s="5">
        <v>4873757.0</v>
      </c>
      <c r="D8" s="6">
        <f t="shared" si="1"/>
        <v>0.4252411623</v>
      </c>
    </row>
    <row r="9">
      <c r="A9" s="2">
        <v>45026.0</v>
      </c>
      <c r="B9" s="5">
        <v>1.1150387E7</v>
      </c>
      <c r="C9" s="5">
        <v>4447879.0</v>
      </c>
      <c r="D9" s="6">
        <f t="shared" si="1"/>
        <v>0.3988990696</v>
      </c>
    </row>
    <row r="10">
      <c r="A10" s="2">
        <v>45064.0</v>
      </c>
      <c r="B10" s="5">
        <v>1.0721919E7</v>
      </c>
      <c r="C10" s="5">
        <v>4135974.0</v>
      </c>
      <c r="D10" s="6">
        <f t="shared" si="1"/>
        <v>0.3857494167</v>
      </c>
    </row>
    <row r="11">
      <c r="A11" s="2">
        <v>45091.0</v>
      </c>
      <c r="B11" s="5">
        <v>1.0871344E7</v>
      </c>
      <c r="C11" s="5">
        <v>4151117.0</v>
      </c>
      <c r="D11" s="6">
        <f t="shared" si="1"/>
        <v>0.3818402766</v>
      </c>
    </row>
    <row r="12">
      <c r="A12" s="2">
        <v>45126.0</v>
      </c>
      <c r="B12" s="5">
        <v>1.146338E7</v>
      </c>
      <c r="C12" s="5">
        <v>4849487.0</v>
      </c>
      <c r="D12" s="6">
        <f t="shared" si="1"/>
        <v>0.4230416334</v>
      </c>
      <c r="H12" s="7"/>
      <c r="I12" s="7"/>
    </row>
    <row r="13">
      <c r="A13" s="4">
        <v>45156.0</v>
      </c>
      <c r="B13" s="5">
        <v>1.1021381E7</v>
      </c>
      <c r="C13" s="5">
        <v>4439586.0</v>
      </c>
      <c r="D13" s="6">
        <f t="shared" si="1"/>
        <v>0.4028157633</v>
      </c>
      <c r="E13" s="8">
        <f t="shared" ref="E13:E43" si="3">average(D2:D13)</f>
        <v>0.4016064072</v>
      </c>
      <c r="F13" s="9">
        <f t="shared" ref="F13:G13" si="2">average(B2:B13)</f>
        <v>11799647.08</v>
      </c>
      <c r="G13" s="9">
        <f t="shared" si="2"/>
        <v>4780341.833</v>
      </c>
      <c r="H13" s="9">
        <f t="shared" ref="H13:H43" si="5">F13*12</f>
        <v>141595765</v>
      </c>
      <c r="I13" s="9">
        <f t="shared" ref="I13:I43" si="6">G13*12*4</f>
        <v>229456408</v>
      </c>
    </row>
    <row r="14">
      <c r="A14" s="2">
        <v>45187.0</v>
      </c>
      <c r="B14" s="5">
        <v>1.035829E7</v>
      </c>
      <c r="C14" s="5">
        <v>3979618.0</v>
      </c>
      <c r="D14" s="6">
        <f t="shared" si="1"/>
        <v>0.3841964262</v>
      </c>
      <c r="E14" s="8">
        <f t="shared" si="3"/>
        <v>0.4057843264</v>
      </c>
      <c r="F14" s="9">
        <f t="shared" ref="F14:G14" si="4">average(B3:B14)</f>
        <v>11714964</v>
      </c>
      <c r="G14" s="9">
        <f t="shared" si="4"/>
        <v>4795328.583</v>
      </c>
      <c r="H14" s="9">
        <f t="shared" si="5"/>
        <v>140579568</v>
      </c>
      <c r="I14" s="9">
        <f t="shared" si="6"/>
        <v>230175772</v>
      </c>
    </row>
    <row r="15">
      <c r="A15" s="2">
        <v>45218.0</v>
      </c>
      <c r="B15" s="5">
        <v>1.0823579E7</v>
      </c>
      <c r="C15" s="5">
        <v>4201784.0</v>
      </c>
      <c r="D15" s="6">
        <f t="shared" si="1"/>
        <v>0.3882065258</v>
      </c>
      <c r="E15" s="8">
        <f t="shared" si="3"/>
        <v>0.4014254185</v>
      </c>
      <c r="F15" s="9">
        <f t="shared" ref="F15:G15" si="7">average(B4:B15)</f>
        <v>11570657.92</v>
      </c>
      <c r="G15" s="9">
        <f t="shared" si="7"/>
        <v>4684580.833</v>
      </c>
      <c r="H15" s="9">
        <f t="shared" si="5"/>
        <v>138847895</v>
      </c>
      <c r="I15" s="9">
        <f t="shared" si="6"/>
        <v>224859880</v>
      </c>
    </row>
    <row r="16">
      <c r="A16" s="2">
        <v>45247.0</v>
      </c>
      <c r="B16" s="5">
        <v>1.1230688E7</v>
      </c>
      <c r="C16" s="5">
        <v>4666889.0</v>
      </c>
      <c r="D16" s="6">
        <f t="shared" si="1"/>
        <v>0.4155479166</v>
      </c>
      <c r="E16" s="8">
        <f t="shared" si="3"/>
        <v>0.4066939451</v>
      </c>
      <c r="F16" s="9">
        <f t="shared" ref="F16:G16" si="8">average(B5:B16)</f>
        <v>11547949.25</v>
      </c>
      <c r="G16" s="9">
        <f t="shared" si="8"/>
        <v>4735749.167</v>
      </c>
      <c r="H16" s="9">
        <f t="shared" si="5"/>
        <v>138575391</v>
      </c>
      <c r="I16" s="9">
        <f t="shared" si="6"/>
        <v>227315960</v>
      </c>
    </row>
    <row r="17">
      <c r="A17" s="2">
        <v>45278.0</v>
      </c>
      <c r="B17" s="5">
        <v>1.3888855E7</v>
      </c>
      <c r="C17" s="5">
        <v>6490224.0</v>
      </c>
      <c r="D17" s="6">
        <f t="shared" si="1"/>
        <v>0.4672972682</v>
      </c>
      <c r="E17" s="8">
        <f t="shared" si="3"/>
        <v>0.4018053982</v>
      </c>
      <c r="F17" s="9">
        <f t="shared" ref="F17:G17" si="9">average(B6:B17)</f>
        <v>11407611.67</v>
      </c>
      <c r="G17" s="9">
        <f t="shared" si="9"/>
        <v>4594040.917</v>
      </c>
      <c r="H17" s="9">
        <f t="shared" si="5"/>
        <v>136891340</v>
      </c>
      <c r="I17" s="9">
        <f t="shared" si="6"/>
        <v>220513964</v>
      </c>
    </row>
    <row r="18">
      <c r="A18" s="2">
        <v>45309.0</v>
      </c>
      <c r="B18" s="5">
        <v>1.085367E7</v>
      </c>
      <c r="C18" s="5">
        <v>2568708.0</v>
      </c>
      <c r="D18" s="6">
        <f t="shared" si="1"/>
        <v>0.2366672287</v>
      </c>
      <c r="E18" s="8">
        <f t="shared" si="3"/>
        <v>0.3927472657</v>
      </c>
      <c r="F18" s="9">
        <f t="shared" ref="F18:G18" si="10">average(B7:B18)</f>
        <v>11235242.92</v>
      </c>
      <c r="G18" s="9">
        <f t="shared" si="10"/>
        <v>4436196.833</v>
      </c>
      <c r="H18" s="9">
        <f t="shared" si="5"/>
        <v>134822915</v>
      </c>
      <c r="I18" s="9">
        <f t="shared" si="6"/>
        <v>212937448</v>
      </c>
    </row>
    <row r="19">
      <c r="A19" s="2">
        <v>45338.0</v>
      </c>
      <c r="B19" s="5">
        <v>1.1174246E7</v>
      </c>
      <c r="C19" s="5">
        <v>3932528.0</v>
      </c>
      <c r="D19" s="6">
        <f t="shared" si="1"/>
        <v>0.3519278169</v>
      </c>
      <c r="E19" s="8">
        <f t="shared" si="3"/>
        <v>0.388452542</v>
      </c>
      <c r="F19" s="9">
        <f t="shared" ref="F19:G19" si="11">average(B8:B19)</f>
        <v>11251574.92</v>
      </c>
      <c r="G19" s="9">
        <f t="shared" si="11"/>
        <v>4394795.917</v>
      </c>
      <c r="H19" s="9">
        <f t="shared" si="5"/>
        <v>135018899</v>
      </c>
      <c r="I19" s="9">
        <f t="shared" si="6"/>
        <v>210950204</v>
      </c>
    </row>
    <row r="20">
      <c r="A20" s="2">
        <v>45366.0</v>
      </c>
      <c r="B20" s="5">
        <v>1.0645108E7</v>
      </c>
      <c r="C20" s="5">
        <v>3791660.0</v>
      </c>
      <c r="D20" s="6">
        <f t="shared" si="1"/>
        <v>0.3561880255</v>
      </c>
      <c r="E20" s="8">
        <f t="shared" si="3"/>
        <v>0.382698114</v>
      </c>
      <c r="F20" s="9">
        <f t="shared" ref="F20:G20" si="12">average(B9:B20)</f>
        <v>11183570.58</v>
      </c>
      <c r="G20" s="9">
        <f t="shared" si="12"/>
        <v>4304621.167</v>
      </c>
      <c r="H20" s="9">
        <f t="shared" si="5"/>
        <v>134202847</v>
      </c>
      <c r="I20" s="9">
        <f t="shared" si="6"/>
        <v>206621816</v>
      </c>
    </row>
    <row r="21">
      <c r="A21" s="2">
        <v>45400.0</v>
      </c>
      <c r="B21" s="5">
        <v>9672438.0</v>
      </c>
      <c r="C21" s="5">
        <v>2989338.0</v>
      </c>
      <c r="D21" s="6">
        <f t="shared" si="1"/>
        <v>0.3090573442</v>
      </c>
      <c r="E21" s="8">
        <f t="shared" si="3"/>
        <v>0.3752113035</v>
      </c>
      <c r="F21" s="9">
        <f t="shared" ref="F21:G21" si="13">average(B10:B21)</f>
        <v>11060408.17</v>
      </c>
      <c r="G21" s="9">
        <f t="shared" si="13"/>
        <v>4183076.083</v>
      </c>
      <c r="H21" s="9">
        <f t="shared" si="5"/>
        <v>132724898</v>
      </c>
      <c r="I21" s="9">
        <f t="shared" si="6"/>
        <v>200787652</v>
      </c>
    </row>
    <row r="22">
      <c r="A22" s="2">
        <v>45429.0</v>
      </c>
      <c r="B22" s="5">
        <v>9597758.0</v>
      </c>
      <c r="C22" s="5">
        <v>2856332.0</v>
      </c>
      <c r="D22" s="6">
        <f t="shared" si="1"/>
        <v>0.2976040863</v>
      </c>
      <c r="E22" s="8">
        <f t="shared" si="3"/>
        <v>0.3678658593</v>
      </c>
      <c r="F22" s="9">
        <f t="shared" ref="F22:G22" si="14">average(B11:B22)</f>
        <v>10966728.08</v>
      </c>
      <c r="G22" s="9">
        <f t="shared" si="14"/>
        <v>4076439.25</v>
      </c>
      <c r="H22" s="9">
        <f t="shared" si="5"/>
        <v>131600737</v>
      </c>
      <c r="I22" s="9">
        <f t="shared" si="6"/>
        <v>195669084</v>
      </c>
    </row>
    <row r="23">
      <c r="A23" s="2">
        <v>45457.0</v>
      </c>
      <c r="B23" s="5">
        <v>1.0235805E7</v>
      </c>
      <c r="C23" s="5">
        <v>3859244.0</v>
      </c>
      <c r="D23" s="6">
        <f t="shared" si="1"/>
        <v>0.3770337555</v>
      </c>
      <c r="E23" s="8">
        <f t="shared" si="3"/>
        <v>0.3674653159</v>
      </c>
      <c r="F23" s="9">
        <f t="shared" ref="F23:G23" si="15">average(B12:B23)</f>
        <v>10913766.5</v>
      </c>
      <c r="G23" s="9">
        <f t="shared" si="15"/>
        <v>4052116.5</v>
      </c>
      <c r="H23" s="9">
        <f t="shared" si="5"/>
        <v>130965198</v>
      </c>
      <c r="I23" s="9">
        <f t="shared" si="6"/>
        <v>194501592</v>
      </c>
    </row>
    <row r="24">
      <c r="A24" s="2">
        <v>45491.0</v>
      </c>
      <c r="B24" s="5">
        <v>1.0335563E7</v>
      </c>
      <c r="C24" s="5">
        <v>3439107.0</v>
      </c>
      <c r="D24" s="6">
        <f t="shared" si="1"/>
        <v>0.3327450087</v>
      </c>
      <c r="E24" s="8">
        <f t="shared" si="3"/>
        <v>0.3599405972</v>
      </c>
      <c r="F24" s="9">
        <f t="shared" ref="F24:G24" si="16">average(B13:B24)</f>
        <v>10819781.75</v>
      </c>
      <c r="G24" s="9">
        <f t="shared" si="16"/>
        <v>3934584.833</v>
      </c>
      <c r="H24" s="9">
        <f t="shared" si="5"/>
        <v>129837381</v>
      </c>
      <c r="I24" s="9">
        <f t="shared" si="6"/>
        <v>188860072</v>
      </c>
    </row>
    <row r="25">
      <c r="A25" s="2">
        <v>45530.0</v>
      </c>
      <c r="B25" s="5">
        <v>1.1571204E7</v>
      </c>
      <c r="C25" s="5">
        <v>4666329.0</v>
      </c>
      <c r="D25" s="6">
        <f t="shared" si="1"/>
        <v>0.4032708264</v>
      </c>
      <c r="E25" s="8">
        <f t="shared" si="3"/>
        <v>0.3599785191</v>
      </c>
      <c r="F25" s="9">
        <f t="shared" ref="F25:G25" si="17">average(B14:B25)</f>
        <v>10865600.33</v>
      </c>
      <c r="G25" s="9">
        <f t="shared" si="17"/>
        <v>3953480.083</v>
      </c>
      <c r="H25" s="9">
        <f t="shared" si="5"/>
        <v>130387204</v>
      </c>
      <c r="I25" s="9">
        <f t="shared" si="6"/>
        <v>189767044</v>
      </c>
    </row>
    <row r="26">
      <c r="A26" s="2">
        <v>45548.0</v>
      </c>
      <c r="B26" s="5">
        <v>9484654.0</v>
      </c>
      <c r="C26" s="5">
        <v>1804222.0</v>
      </c>
      <c r="D26" s="6">
        <f t="shared" si="1"/>
        <v>0.1902253893</v>
      </c>
      <c r="E26" s="8">
        <f t="shared" si="3"/>
        <v>0.343814266</v>
      </c>
      <c r="F26" s="9">
        <f t="shared" ref="F26:G26" si="18">average(B15:B26)</f>
        <v>10792797.33</v>
      </c>
      <c r="G26" s="9">
        <f t="shared" si="18"/>
        <v>3772197.083</v>
      </c>
      <c r="H26" s="9">
        <f t="shared" si="5"/>
        <v>129513568</v>
      </c>
      <c r="I26" s="9">
        <f t="shared" si="6"/>
        <v>181065460</v>
      </c>
    </row>
    <row r="27">
      <c r="A27" s="2">
        <v>45583.0</v>
      </c>
      <c r="B27" s="5">
        <v>9738160.0</v>
      </c>
      <c r="C27" s="5">
        <v>3112468.0</v>
      </c>
      <c r="D27" s="6">
        <f t="shared" si="1"/>
        <v>0.3196156153</v>
      </c>
      <c r="E27" s="8">
        <f t="shared" si="3"/>
        <v>0.3380983568</v>
      </c>
      <c r="F27" s="9">
        <f t="shared" ref="F27:G27" si="19">average(B16:B27)</f>
        <v>10702345.75</v>
      </c>
      <c r="G27" s="9">
        <f t="shared" si="19"/>
        <v>3681420.75</v>
      </c>
      <c r="H27" s="9">
        <f t="shared" si="5"/>
        <v>128428149</v>
      </c>
      <c r="I27" s="9">
        <f t="shared" si="6"/>
        <v>176708196</v>
      </c>
    </row>
    <row r="28">
      <c r="A28" s="2">
        <v>45611.0</v>
      </c>
      <c r="B28" s="5">
        <v>1.0465667E7</v>
      </c>
      <c r="C28" s="5">
        <v>4145554.0</v>
      </c>
      <c r="D28" s="6">
        <f t="shared" si="1"/>
        <v>0.3961098705</v>
      </c>
      <c r="E28" s="8">
        <f t="shared" si="3"/>
        <v>0.3364785196</v>
      </c>
      <c r="F28" s="9">
        <f t="shared" ref="F28:G28" si="20">average(B17:B28)</f>
        <v>10638594</v>
      </c>
      <c r="G28" s="9">
        <f t="shared" si="20"/>
        <v>3637976.167</v>
      </c>
      <c r="H28" s="9">
        <f t="shared" si="5"/>
        <v>127663128</v>
      </c>
      <c r="I28" s="9">
        <f t="shared" si="6"/>
        <v>174622856</v>
      </c>
    </row>
    <row r="29">
      <c r="A29" s="2">
        <v>45636.0</v>
      </c>
      <c r="B29" s="5">
        <v>1.2546496E7</v>
      </c>
      <c r="C29" s="5">
        <v>5019948.0</v>
      </c>
      <c r="D29" s="6">
        <f t="shared" si="1"/>
        <v>0.4001075679</v>
      </c>
      <c r="E29" s="8">
        <f t="shared" si="3"/>
        <v>0.3308793779</v>
      </c>
      <c r="F29" s="9">
        <f t="shared" ref="F29:G29" si="21">average(B18:B29)</f>
        <v>10526730.75</v>
      </c>
      <c r="G29" s="9">
        <f t="shared" si="21"/>
        <v>3515453.167</v>
      </c>
      <c r="H29" s="9">
        <f t="shared" si="5"/>
        <v>126320769</v>
      </c>
      <c r="I29" s="9">
        <f t="shared" si="6"/>
        <v>168741752</v>
      </c>
    </row>
    <row r="30">
      <c r="A30" s="2">
        <v>45674.0</v>
      </c>
      <c r="B30" s="5">
        <v>1.0574107E7</v>
      </c>
      <c r="C30" s="5">
        <v>2000519.0</v>
      </c>
      <c r="D30" s="6">
        <f t="shared" si="1"/>
        <v>0.1891903496</v>
      </c>
      <c r="E30" s="8">
        <f t="shared" si="3"/>
        <v>0.3269229713</v>
      </c>
      <c r="F30" s="9">
        <f t="shared" ref="F30:G30" si="22">average(B19:B30)</f>
        <v>10503433.83</v>
      </c>
      <c r="G30" s="9">
        <f t="shared" si="22"/>
        <v>3468104.083</v>
      </c>
      <c r="H30" s="9">
        <f t="shared" si="5"/>
        <v>126041206</v>
      </c>
      <c r="I30" s="9">
        <f t="shared" si="6"/>
        <v>166468996</v>
      </c>
    </row>
    <row r="31">
      <c r="A31" s="2">
        <v>45701.0</v>
      </c>
      <c r="B31" s="5">
        <v>9135761.0</v>
      </c>
      <c r="C31" s="5">
        <v>2267888.0</v>
      </c>
      <c r="D31" s="6">
        <f t="shared" si="1"/>
        <v>0.2482429214</v>
      </c>
      <c r="E31" s="8">
        <f t="shared" si="3"/>
        <v>0.3182825634</v>
      </c>
      <c r="F31" s="9">
        <f t="shared" ref="F31:G31" si="23">average(B20:B31)</f>
        <v>10333560.08</v>
      </c>
      <c r="G31" s="9">
        <f t="shared" si="23"/>
        <v>3329384.083</v>
      </c>
      <c r="H31" s="9">
        <f t="shared" si="5"/>
        <v>124002721</v>
      </c>
      <c r="I31" s="9">
        <f t="shared" si="6"/>
        <v>159810436</v>
      </c>
    </row>
    <row r="32">
      <c r="A32" s="2">
        <v>45737.0</v>
      </c>
      <c r="B32" s="5">
        <v>9219590.0</v>
      </c>
      <c r="C32" s="5">
        <v>2949131.0</v>
      </c>
      <c r="D32" s="6">
        <f t="shared" si="1"/>
        <v>0.3198765889</v>
      </c>
      <c r="E32" s="8">
        <f t="shared" si="3"/>
        <v>0.3152566103</v>
      </c>
      <c r="F32" s="9">
        <f t="shared" ref="F32:G32" si="24">average(B21:B32)</f>
        <v>10214766.92</v>
      </c>
      <c r="G32" s="9">
        <f t="shared" si="24"/>
        <v>3259173.333</v>
      </c>
      <c r="H32" s="9">
        <f t="shared" si="5"/>
        <v>122577203</v>
      </c>
      <c r="I32" s="9">
        <f t="shared" si="6"/>
        <v>156440320</v>
      </c>
    </row>
    <row r="33">
      <c r="A33" s="2">
        <v>45777.0</v>
      </c>
      <c r="B33" s="5">
        <v>8871245.0</v>
      </c>
      <c r="C33" s="5">
        <v>1968229.0</v>
      </c>
      <c r="D33" s="6">
        <f t="shared" si="1"/>
        <v>0.2218661529</v>
      </c>
      <c r="E33" s="8">
        <f t="shared" si="3"/>
        <v>0.3079906777</v>
      </c>
      <c r="F33" s="9">
        <f t="shared" ref="F33:G33" si="25">average(B22:B33)</f>
        <v>10148000.83</v>
      </c>
      <c r="G33" s="9">
        <f t="shared" si="25"/>
        <v>3174080.917</v>
      </c>
      <c r="H33" s="9">
        <f t="shared" si="5"/>
        <v>121776010</v>
      </c>
      <c r="I33" s="9">
        <f t="shared" si="6"/>
        <v>152355884</v>
      </c>
    </row>
    <row r="34">
      <c r="A34" s="2">
        <v>45799.0</v>
      </c>
      <c r="B34" s="5">
        <v>8583341.0</v>
      </c>
      <c r="C34" s="5">
        <v>2425922.0</v>
      </c>
      <c r="D34" s="6">
        <f t="shared" si="1"/>
        <v>0.2826314369</v>
      </c>
      <c r="E34" s="8">
        <f t="shared" si="3"/>
        <v>0.3067429569</v>
      </c>
      <c r="F34" s="9">
        <f t="shared" ref="F34:G34" si="26">average(B23:B34)</f>
        <v>10063466.08</v>
      </c>
      <c r="G34" s="9">
        <f t="shared" si="26"/>
        <v>3138213.417</v>
      </c>
      <c r="H34" s="9">
        <f t="shared" si="5"/>
        <v>120761593</v>
      </c>
      <c r="I34" s="9">
        <f t="shared" si="6"/>
        <v>150634244</v>
      </c>
    </row>
    <row r="35">
      <c r="A35" s="2">
        <v>45824.0</v>
      </c>
      <c r="B35" s="5">
        <v>9012769.0</v>
      </c>
      <c r="C35" s="5">
        <v>2425952.0</v>
      </c>
      <c r="D35" s="6">
        <f t="shared" si="1"/>
        <v>0.2691683322</v>
      </c>
      <c r="E35" s="8">
        <f t="shared" si="3"/>
        <v>0.2977541717</v>
      </c>
      <c r="F35" s="9">
        <f t="shared" ref="F35:G35" si="27">average(B24:B35)</f>
        <v>9961546.417</v>
      </c>
      <c r="G35" s="9">
        <f t="shared" si="27"/>
        <v>3018772.417</v>
      </c>
      <c r="H35" s="9">
        <f t="shared" si="5"/>
        <v>119538557</v>
      </c>
      <c r="I35" s="9">
        <f t="shared" si="6"/>
        <v>144901076</v>
      </c>
    </row>
    <row r="36">
      <c r="A36" s="2">
        <v>45863.0</v>
      </c>
      <c r="B36" s="5">
        <v>9290188.0</v>
      </c>
      <c r="C36" s="5">
        <v>2706485.0</v>
      </c>
      <c r="D36" s="6">
        <f t="shared" si="1"/>
        <v>0.2913272584</v>
      </c>
      <c r="E36" s="8">
        <f t="shared" si="3"/>
        <v>0.2943026925</v>
      </c>
      <c r="F36" s="9">
        <f t="shared" ref="F36:G36" si="28">average(B25:B36)</f>
        <v>9874431.833</v>
      </c>
      <c r="G36" s="9">
        <f t="shared" si="28"/>
        <v>2957720.583</v>
      </c>
      <c r="H36" s="9">
        <f t="shared" si="5"/>
        <v>118493182</v>
      </c>
      <c r="I36" s="9">
        <f t="shared" si="6"/>
        <v>141970588</v>
      </c>
    </row>
    <row r="37">
      <c r="A37" s="2">
        <v>45895.0</v>
      </c>
      <c r="B37" s="5">
        <v>9831725.0</v>
      </c>
      <c r="C37" s="5">
        <v>2983848.0</v>
      </c>
      <c r="D37" s="6">
        <f t="shared" si="1"/>
        <v>0.3034918084</v>
      </c>
      <c r="E37" s="8">
        <f t="shared" si="3"/>
        <v>0.2859877743</v>
      </c>
      <c r="F37" s="9">
        <f t="shared" ref="F37:G37" si="29">average(B26:B37)</f>
        <v>9729475.25</v>
      </c>
      <c r="G37" s="9">
        <f t="shared" si="29"/>
        <v>2817513.833</v>
      </c>
      <c r="H37" s="9">
        <f t="shared" si="5"/>
        <v>116753703</v>
      </c>
      <c r="I37" s="9">
        <f t="shared" si="6"/>
        <v>135240664</v>
      </c>
    </row>
    <row r="38">
      <c r="A38" s="2">
        <v>45926.0</v>
      </c>
      <c r="B38" s="5">
        <v>7740642.0</v>
      </c>
      <c r="C38" s="5">
        <v>1231320.0</v>
      </c>
      <c r="D38" s="6">
        <f t="shared" si="1"/>
        <v>0.159072077</v>
      </c>
      <c r="E38" s="8">
        <f t="shared" si="3"/>
        <v>0.2833916649</v>
      </c>
      <c r="F38" s="9">
        <f t="shared" ref="F38:G38" si="30">average(B27:B38)</f>
        <v>9584140.917</v>
      </c>
      <c r="G38" s="9">
        <f t="shared" si="30"/>
        <v>2769772</v>
      </c>
      <c r="H38" s="9">
        <f t="shared" si="5"/>
        <v>115009691</v>
      </c>
      <c r="I38" s="9">
        <f t="shared" si="6"/>
        <v>132949056</v>
      </c>
    </row>
    <row r="39">
      <c r="A39" s="2">
        <v>45961.0</v>
      </c>
      <c r="B39" s="5">
        <v>9738162.0</v>
      </c>
      <c r="C39" s="5">
        <v>2098561.0</v>
      </c>
      <c r="D39" s="6">
        <f t="shared" si="1"/>
        <v>0.2154986742</v>
      </c>
      <c r="E39" s="8">
        <f t="shared" si="3"/>
        <v>0.2747152532</v>
      </c>
      <c r="F39" s="9">
        <f t="shared" ref="F39:G39" si="31">average(B28:B39)</f>
        <v>9584141.083</v>
      </c>
      <c r="G39" s="9">
        <f t="shared" si="31"/>
        <v>2685279.75</v>
      </c>
      <c r="H39" s="9">
        <f t="shared" si="5"/>
        <v>115009693</v>
      </c>
      <c r="I39" s="9">
        <f t="shared" si="6"/>
        <v>128893428</v>
      </c>
    </row>
    <row r="40">
      <c r="A40" s="2">
        <v>45991.0</v>
      </c>
      <c r="B40" s="5">
        <v>9319831.0</v>
      </c>
      <c r="C40" s="5">
        <v>2939990.0</v>
      </c>
      <c r="D40" s="6">
        <f t="shared" si="1"/>
        <v>0.315455291</v>
      </c>
      <c r="E40" s="8">
        <f t="shared" si="3"/>
        <v>0.2679940382</v>
      </c>
      <c r="F40" s="9">
        <f t="shared" ref="F40:G40" si="32">average(B29:B40)</f>
        <v>9488654.75</v>
      </c>
      <c r="G40" s="9">
        <f t="shared" si="32"/>
        <v>2584816.083</v>
      </c>
      <c r="H40" s="9">
        <f t="shared" si="5"/>
        <v>113863857</v>
      </c>
      <c r="I40" s="9">
        <f t="shared" si="6"/>
        <v>124071172</v>
      </c>
    </row>
    <row r="41">
      <c r="A41" s="2">
        <v>46022.0</v>
      </c>
      <c r="B41" s="5">
        <v>1.1330268E7</v>
      </c>
      <c r="C41" s="5">
        <v>4289928.0</v>
      </c>
      <c r="D41" s="6">
        <f t="shared" si="1"/>
        <v>0.3786254659</v>
      </c>
      <c r="E41" s="8">
        <f t="shared" si="3"/>
        <v>0.2662038631</v>
      </c>
      <c r="F41" s="9">
        <f t="shared" ref="F41:G41" si="33">average(B30:B41)</f>
        <v>9387302.417</v>
      </c>
      <c r="G41" s="9">
        <f t="shared" si="33"/>
        <v>2523981.083</v>
      </c>
      <c r="H41" s="9">
        <f t="shared" si="5"/>
        <v>112647629</v>
      </c>
      <c r="I41" s="9">
        <f t="shared" si="6"/>
        <v>121151092</v>
      </c>
    </row>
    <row r="42">
      <c r="A42" s="2">
        <v>46053.0</v>
      </c>
      <c r="B42" s="5">
        <v>9700932.0</v>
      </c>
      <c r="C42" s="5">
        <v>1463511.0</v>
      </c>
      <c r="D42" s="6">
        <f t="shared" si="1"/>
        <v>0.1508629274</v>
      </c>
      <c r="E42" s="8">
        <f t="shared" si="3"/>
        <v>0.2630099112</v>
      </c>
      <c r="F42" s="9">
        <f t="shared" ref="F42:G42" si="34">average(B31:B42)</f>
        <v>9314537.833</v>
      </c>
      <c r="G42" s="9">
        <f t="shared" si="34"/>
        <v>2479230.417</v>
      </c>
      <c r="H42" s="9">
        <f t="shared" si="5"/>
        <v>111774454</v>
      </c>
      <c r="I42" s="9">
        <f t="shared" si="6"/>
        <v>119003060</v>
      </c>
    </row>
    <row r="43">
      <c r="A43" s="2">
        <v>46081.0</v>
      </c>
      <c r="B43" s="5">
        <v>8055139.0</v>
      </c>
      <c r="C43" s="5">
        <v>2171736.0</v>
      </c>
      <c r="D43" s="6">
        <f t="shared" si="1"/>
        <v>0.2696087554</v>
      </c>
      <c r="E43" s="8">
        <f t="shared" si="3"/>
        <v>0.2647903974</v>
      </c>
      <c r="F43" s="9">
        <f t="shared" ref="F43:G43" si="35">average(B32:B43)</f>
        <v>9224486</v>
      </c>
      <c r="G43" s="9">
        <f t="shared" si="35"/>
        <v>2471217.75</v>
      </c>
      <c r="H43" s="9">
        <f t="shared" si="5"/>
        <v>110693832</v>
      </c>
      <c r="I43" s="9">
        <f t="shared" si="6"/>
        <v>118618452</v>
      </c>
    </row>
    <row r="44">
      <c r="A44" s="2"/>
      <c r="B44" s="5"/>
      <c r="C44" s="5"/>
      <c r="D44" s="6"/>
      <c r="E44" s="10"/>
      <c r="F44" s="9"/>
      <c r="G44" s="9"/>
      <c r="H44" s="9"/>
      <c r="I44" s="9"/>
    </row>
    <row r="45">
      <c r="B45" s="7"/>
      <c r="C45" s="7"/>
    </row>
    <row r="46">
      <c r="B46" s="7"/>
      <c r="C46" s="7"/>
    </row>
    <row r="47">
      <c r="A47" s="11"/>
      <c r="B47" s="12"/>
      <c r="C47" s="1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3">
        <f t="array" ref="A48:I48">INDEX(A2:I47, COUNTA(A2:A47), 0)</f>
        <v>46081</v>
      </c>
      <c r="B48" s="14">
        <v>8055139.0</v>
      </c>
      <c r="C48" s="14">
        <v>2171736.0</v>
      </c>
      <c r="D48" s="15">
        <v>0.2696087553548114</v>
      </c>
      <c r="E48" s="15">
        <v>0.2647903973689109</v>
      </c>
      <c r="F48" s="14">
        <v>9224486.0</v>
      </c>
      <c r="G48" s="14">
        <v>2471217.75</v>
      </c>
      <c r="H48" s="14">
        <v>1.10693832E8</v>
      </c>
      <c r="I48" s="14">
        <v>1.18618452E8</v>
      </c>
    </row>
    <row r="51">
      <c r="A51" s="1" t="s">
        <v>12</v>
      </c>
      <c r="F51" s="16">
        <f>F48*12</f>
        <v>110693832</v>
      </c>
    </row>
    <row r="52">
      <c r="A52" s="1" t="s">
        <v>13</v>
      </c>
      <c r="G52" s="16">
        <f>G48*12*4</f>
        <v>118618452</v>
      </c>
    </row>
    <row r="53">
      <c r="A53" s="1" t="s">
        <v>14</v>
      </c>
      <c r="H53" s="9">
        <f>(F51+G52)/2</f>
        <v>114656142</v>
      </c>
    </row>
    <row r="55">
      <c r="A55" s="1" t="s">
        <v>15</v>
      </c>
      <c r="B55" s="17">
        <v>10.6891</v>
      </c>
      <c r="C55" s="1" t="s">
        <v>16</v>
      </c>
      <c r="F55" s="16">
        <f>F51/100*B55</f>
        <v>11832174.4</v>
      </c>
    </row>
    <row r="56">
      <c r="G56" s="16">
        <f>G52/100*B55</f>
        <v>12679244.95</v>
      </c>
    </row>
    <row r="57">
      <c r="A57" s="1" t="s">
        <v>14</v>
      </c>
      <c r="H57" s="9">
        <f>(F55+G56)/2</f>
        <v>12255709.67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8.25"/>
  </cols>
  <sheetData>
    <row r="1">
      <c r="A1" s="1" t="s">
        <v>0</v>
      </c>
      <c r="B1" s="18" t="s">
        <v>17</v>
      </c>
      <c r="C1" s="18" t="s">
        <v>18</v>
      </c>
      <c r="D1" s="19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>
      <c r="A2" s="2">
        <v>44812.0</v>
      </c>
      <c r="B2" s="18">
        <v>-1.9307271E7</v>
      </c>
      <c r="C2" s="18"/>
      <c r="D2" s="20"/>
      <c r="E2" s="21"/>
      <c r="F2" s="1"/>
    </row>
    <row r="3">
      <c r="A3" s="2">
        <v>44853.0</v>
      </c>
      <c r="B3" s="18">
        <v>328657.91</v>
      </c>
      <c r="C3" s="18">
        <v>38.21</v>
      </c>
      <c r="D3" s="20">
        <f t="shared" ref="D3:D44" si="1">B3/C3</f>
        <v>8601.358545</v>
      </c>
      <c r="E3" s="21">
        <v>6.6891</v>
      </c>
      <c r="F3" s="1" t="s">
        <v>24</v>
      </c>
    </row>
    <row r="4">
      <c r="A4" s="2">
        <v>44883.0</v>
      </c>
      <c r="B4" s="22">
        <v>566560.64</v>
      </c>
      <c r="C4" s="18">
        <v>35.86</v>
      </c>
      <c r="D4" s="20">
        <f t="shared" si="1"/>
        <v>15799.23703</v>
      </c>
      <c r="E4" s="23">
        <v>10.6891</v>
      </c>
      <c r="F4" s="1" t="s">
        <v>25</v>
      </c>
    </row>
    <row r="5">
      <c r="A5" s="2">
        <v>44914.0</v>
      </c>
      <c r="B5" s="18">
        <v>481250.0</v>
      </c>
      <c r="C5" s="1">
        <v>34.85</v>
      </c>
      <c r="D5" s="20">
        <f t="shared" si="1"/>
        <v>13809.18221</v>
      </c>
      <c r="E5" s="23">
        <v>10.6891</v>
      </c>
    </row>
    <row r="6">
      <c r="A6" s="2">
        <v>44945.0</v>
      </c>
      <c r="B6" s="18">
        <v>748237.18</v>
      </c>
      <c r="C6" s="18">
        <v>33.0</v>
      </c>
      <c r="D6" s="20">
        <f t="shared" si="1"/>
        <v>22673.85394</v>
      </c>
      <c r="E6" s="1">
        <v>10.6891</v>
      </c>
    </row>
    <row r="7">
      <c r="A7" s="2">
        <v>44973.0</v>
      </c>
      <c r="B7" s="18">
        <v>470320.51</v>
      </c>
      <c r="C7" s="18">
        <v>34.4</v>
      </c>
      <c r="D7" s="20">
        <f t="shared" si="1"/>
        <v>13672.10785</v>
      </c>
      <c r="E7" s="17">
        <v>10.6891</v>
      </c>
    </row>
    <row r="8">
      <c r="A8" s="2">
        <v>45002.0</v>
      </c>
      <c r="B8" s="18">
        <v>470320.51</v>
      </c>
      <c r="C8" s="18">
        <v>34.2</v>
      </c>
      <c r="D8" s="20">
        <f t="shared" si="1"/>
        <v>13752.0617</v>
      </c>
      <c r="E8" s="17">
        <v>10.6891</v>
      </c>
    </row>
    <row r="9">
      <c r="A9" s="2">
        <v>45026.0</v>
      </c>
      <c r="B9" s="18">
        <v>513076.92</v>
      </c>
      <c r="C9" s="18">
        <v>34.4</v>
      </c>
      <c r="D9" s="20">
        <f t="shared" si="1"/>
        <v>14915.02674</v>
      </c>
      <c r="E9" s="17">
        <v>10.6891</v>
      </c>
    </row>
    <row r="10">
      <c r="A10" s="2">
        <v>45064.0</v>
      </c>
      <c r="B10" s="18">
        <v>470320.51</v>
      </c>
      <c r="C10" s="18">
        <v>34.31</v>
      </c>
      <c r="D10" s="20">
        <f t="shared" si="1"/>
        <v>13707.97173</v>
      </c>
      <c r="E10" s="17">
        <v>10.6891</v>
      </c>
    </row>
    <row r="11">
      <c r="A11" s="2">
        <v>45091.0</v>
      </c>
      <c r="B11" s="18">
        <v>438253.21</v>
      </c>
      <c r="C11" s="18">
        <v>34.68</v>
      </c>
      <c r="D11" s="20">
        <f t="shared" si="1"/>
        <v>12637.05911</v>
      </c>
      <c r="E11" s="17">
        <v>10.6891</v>
      </c>
    </row>
    <row r="12">
      <c r="A12" s="2">
        <v>45126.0</v>
      </c>
      <c r="B12" s="18">
        <v>438253.21</v>
      </c>
      <c r="C12" s="18">
        <v>34.67</v>
      </c>
      <c r="D12" s="20">
        <f t="shared" si="1"/>
        <v>12640.70407</v>
      </c>
      <c r="E12" s="17">
        <v>10.6891</v>
      </c>
    </row>
    <row r="13">
      <c r="A13" s="4">
        <v>45156.0</v>
      </c>
      <c r="B13" s="18">
        <v>513077.0</v>
      </c>
      <c r="C13" s="18">
        <v>35.6</v>
      </c>
      <c r="D13" s="20">
        <f t="shared" si="1"/>
        <v>14412.27528</v>
      </c>
      <c r="E13" s="17">
        <v>10.6891</v>
      </c>
      <c r="G13" s="24">
        <f>average(B3:B13)</f>
        <v>494393.4182</v>
      </c>
    </row>
    <row r="14">
      <c r="A14" s="2">
        <v>45187.0</v>
      </c>
      <c r="B14" s="18">
        <v>470320.51</v>
      </c>
      <c r="C14" s="18">
        <v>35.68</v>
      </c>
      <c r="D14" s="20">
        <f t="shared" si="1"/>
        <v>13181.62864</v>
      </c>
      <c r="E14" s="17">
        <v>10.6891</v>
      </c>
      <c r="G14" s="24">
        <f t="shared" ref="G14:G44" si="2">average(B3:B14)</f>
        <v>492387.3425</v>
      </c>
    </row>
    <row r="15">
      <c r="A15" s="2">
        <v>45218.0</v>
      </c>
      <c r="B15" s="18">
        <v>427564.1</v>
      </c>
      <c r="C15" s="18">
        <v>36.39</v>
      </c>
      <c r="D15" s="20">
        <f t="shared" si="1"/>
        <v>11749.49437</v>
      </c>
      <c r="E15" s="17">
        <v>10.6891</v>
      </c>
      <c r="G15" s="24">
        <f t="shared" si="2"/>
        <v>500629.525</v>
      </c>
    </row>
    <row r="16">
      <c r="A16" s="2">
        <v>45247.0</v>
      </c>
      <c r="B16" s="18">
        <v>448942.31</v>
      </c>
      <c r="C16" s="18">
        <v>35.4</v>
      </c>
      <c r="D16" s="20">
        <f t="shared" si="1"/>
        <v>12681.98616</v>
      </c>
      <c r="E16" s="17">
        <v>10.6891</v>
      </c>
      <c r="G16" s="24">
        <f t="shared" si="2"/>
        <v>490827.9975</v>
      </c>
    </row>
    <row r="17">
      <c r="A17" s="2">
        <v>45278.0</v>
      </c>
      <c r="B17" s="18">
        <v>491698.72</v>
      </c>
      <c r="C17" s="18">
        <v>34.88</v>
      </c>
      <c r="D17" s="20">
        <f t="shared" si="1"/>
        <v>14096.86697</v>
      </c>
      <c r="E17" s="17">
        <v>10.6891</v>
      </c>
      <c r="G17" s="24">
        <f t="shared" si="2"/>
        <v>491698.7242</v>
      </c>
    </row>
    <row r="18">
      <c r="A18" s="2">
        <v>45309.0</v>
      </c>
      <c r="B18" s="18">
        <v>693468.62</v>
      </c>
      <c r="C18" s="18">
        <v>35.53</v>
      </c>
      <c r="D18" s="20">
        <f t="shared" si="1"/>
        <v>19517.83338</v>
      </c>
      <c r="E18" s="17">
        <v>10.6891</v>
      </c>
      <c r="G18" s="24">
        <f t="shared" si="2"/>
        <v>487134.6775</v>
      </c>
    </row>
    <row r="19">
      <c r="A19" s="2">
        <v>45338.0</v>
      </c>
      <c r="B19" s="25">
        <v>427564.1</v>
      </c>
      <c r="C19" s="18">
        <v>36.11</v>
      </c>
      <c r="D19" s="20">
        <f t="shared" si="1"/>
        <v>11840.60094</v>
      </c>
      <c r="E19" s="17">
        <v>10.6891</v>
      </c>
      <c r="G19" s="24">
        <f t="shared" si="2"/>
        <v>483571.6433</v>
      </c>
    </row>
    <row r="20">
      <c r="A20" s="2">
        <v>45366.0</v>
      </c>
      <c r="B20" s="18">
        <v>427564.1</v>
      </c>
      <c r="C20" s="18">
        <v>35.82</v>
      </c>
      <c r="D20" s="20">
        <f t="shared" si="1"/>
        <v>11936.46287</v>
      </c>
      <c r="E20" s="17">
        <v>10.6891</v>
      </c>
      <c r="G20" s="24">
        <f t="shared" si="2"/>
        <v>480008.6092</v>
      </c>
    </row>
    <row r="21">
      <c r="A21" s="2">
        <v>45400.0</v>
      </c>
      <c r="B21" s="18">
        <v>406185.9</v>
      </c>
      <c r="C21" s="18">
        <v>36.4</v>
      </c>
      <c r="D21" s="20">
        <f t="shared" si="1"/>
        <v>11158.9533</v>
      </c>
      <c r="E21" s="17">
        <v>10.6891</v>
      </c>
      <c r="G21" s="24">
        <f t="shared" si="2"/>
        <v>471101.0242</v>
      </c>
    </row>
    <row r="22">
      <c r="A22" s="2">
        <v>45429.0</v>
      </c>
      <c r="B22" s="18">
        <v>320673.08</v>
      </c>
      <c r="C22" s="18">
        <v>36.58</v>
      </c>
      <c r="D22" s="20">
        <f t="shared" si="1"/>
        <v>8766.349918</v>
      </c>
      <c r="E22" s="17">
        <v>10.6891</v>
      </c>
      <c r="G22" s="24">
        <f t="shared" si="2"/>
        <v>458630.405</v>
      </c>
    </row>
    <row r="23">
      <c r="A23" s="2">
        <v>45457.0</v>
      </c>
      <c r="B23" s="18">
        <v>304997.79</v>
      </c>
      <c r="C23" s="18">
        <v>36.67</v>
      </c>
      <c r="D23" s="20">
        <f t="shared" si="1"/>
        <v>8317.365421</v>
      </c>
      <c r="E23" s="17">
        <v>10.6891</v>
      </c>
      <c r="G23" s="24">
        <f t="shared" si="2"/>
        <v>447525.7867</v>
      </c>
    </row>
    <row r="24">
      <c r="A24" s="2">
        <v>45491.0</v>
      </c>
      <c r="B24" s="18">
        <v>427564.1</v>
      </c>
      <c r="C24" s="18">
        <v>36.0</v>
      </c>
      <c r="D24" s="20">
        <f t="shared" si="1"/>
        <v>11876.78056</v>
      </c>
      <c r="E24" s="17">
        <v>10.6891</v>
      </c>
      <c r="G24" s="24">
        <f t="shared" si="2"/>
        <v>446635.0275</v>
      </c>
    </row>
    <row r="25">
      <c r="A25" s="2">
        <v>45530.0</v>
      </c>
      <c r="B25" s="18">
        <v>374118.59</v>
      </c>
      <c r="C25" s="18">
        <v>34.38</v>
      </c>
      <c r="D25" s="20">
        <f t="shared" si="1"/>
        <v>10881.86707</v>
      </c>
      <c r="E25" s="17">
        <v>10.6891</v>
      </c>
      <c r="G25" s="24">
        <f t="shared" si="2"/>
        <v>435055.16</v>
      </c>
    </row>
    <row r="26">
      <c r="A26" s="2">
        <v>45548.0</v>
      </c>
      <c r="B26" s="18">
        <v>481009.62</v>
      </c>
      <c r="C26" s="18">
        <v>33.3</v>
      </c>
      <c r="D26" s="20">
        <f t="shared" si="1"/>
        <v>14444.73333</v>
      </c>
      <c r="E26" s="17">
        <v>10.6891</v>
      </c>
      <c r="G26" s="24">
        <f t="shared" si="2"/>
        <v>435945.9192</v>
      </c>
    </row>
    <row r="27">
      <c r="A27" s="2">
        <v>45583.0</v>
      </c>
      <c r="B27" s="18">
        <v>213782.05</v>
      </c>
      <c r="C27" s="18">
        <v>33.3</v>
      </c>
      <c r="D27" s="20">
        <f t="shared" si="1"/>
        <v>6419.881381</v>
      </c>
      <c r="E27" s="17">
        <v>10.6891</v>
      </c>
      <c r="G27" s="24">
        <f t="shared" si="2"/>
        <v>418130.7483</v>
      </c>
    </row>
    <row r="28">
      <c r="A28" s="2">
        <v>45611.0</v>
      </c>
      <c r="B28" s="18">
        <v>331362.18</v>
      </c>
      <c r="C28" s="18">
        <v>34.53</v>
      </c>
      <c r="D28" s="20">
        <f t="shared" si="1"/>
        <v>9596.356212</v>
      </c>
      <c r="E28" s="17">
        <v>10.6891</v>
      </c>
      <c r="G28" s="24">
        <f t="shared" si="2"/>
        <v>408332.4042</v>
      </c>
    </row>
    <row r="29">
      <c r="A29" s="2">
        <v>45636.0</v>
      </c>
      <c r="B29" s="18">
        <v>427564.1</v>
      </c>
      <c r="C29" s="18">
        <v>33.68</v>
      </c>
      <c r="D29" s="20">
        <f t="shared" si="1"/>
        <v>12694.89608</v>
      </c>
      <c r="E29" s="17">
        <v>10.6891</v>
      </c>
      <c r="G29" s="24">
        <f t="shared" si="2"/>
        <v>402987.8525</v>
      </c>
    </row>
    <row r="30">
      <c r="A30" s="2">
        <v>45674.0</v>
      </c>
      <c r="B30" s="18">
        <v>534455.13</v>
      </c>
      <c r="C30" s="18">
        <v>34.56</v>
      </c>
      <c r="D30" s="20">
        <f t="shared" si="1"/>
        <v>15464.55816</v>
      </c>
      <c r="E30" s="17">
        <v>10.6891</v>
      </c>
      <c r="G30" s="26">
        <f t="shared" si="2"/>
        <v>389736.7283</v>
      </c>
    </row>
    <row r="31">
      <c r="A31" s="2">
        <v>45701.0</v>
      </c>
      <c r="B31" s="18">
        <v>213782.05</v>
      </c>
      <c r="C31" s="18">
        <v>33.94</v>
      </c>
      <c r="D31" s="20">
        <f t="shared" si="1"/>
        <v>6298.822923</v>
      </c>
      <c r="E31" s="17">
        <v>10.6891</v>
      </c>
      <c r="G31" s="24">
        <f t="shared" si="2"/>
        <v>371921.5575</v>
      </c>
    </row>
    <row r="32">
      <c r="A32" s="2">
        <v>45737.0</v>
      </c>
      <c r="B32" s="18">
        <v>267227.56</v>
      </c>
      <c r="C32" s="18">
        <v>33.57</v>
      </c>
      <c r="D32" s="20">
        <f t="shared" si="1"/>
        <v>7960.308609</v>
      </c>
      <c r="E32" s="17">
        <v>10.6891</v>
      </c>
      <c r="G32" s="24">
        <f t="shared" si="2"/>
        <v>358560.1792</v>
      </c>
      <c r="J32" s="1">
        <v>9.0</v>
      </c>
    </row>
    <row r="33">
      <c r="A33" s="2">
        <v>45777.0</v>
      </c>
      <c r="B33" s="18">
        <v>320673.08</v>
      </c>
      <c r="C33" s="18">
        <v>33.37</v>
      </c>
      <c r="D33" s="20">
        <f t="shared" si="1"/>
        <v>9609.621816</v>
      </c>
      <c r="E33" s="17">
        <v>10.6891</v>
      </c>
      <c r="G33" s="24">
        <f t="shared" si="2"/>
        <v>351434.1108</v>
      </c>
    </row>
    <row r="34">
      <c r="A34" s="2">
        <v>45799.0</v>
      </c>
      <c r="B34" s="18">
        <v>213782.05</v>
      </c>
      <c r="C34" s="18">
        <v>33.42</v>
      </c>
      <c r="D34" s="20">
        <f t="shared" si="1"/>
        <v>6396.829743</v>
      </c>
      <c r="E34" s="17">
        <v>10.6891</v>
      </c>
      <c r="G34" s="24">
        <f t="shared" si="2"/>
        <v>342526.525</v>
      </c>
    </row>
    <row r="35">
      <c r="A35" s="2">
        <v>45824.0</v>
      </c>
      <c r="B35" s="18">
        <v>267227.56</v>
      </c>
      <c r="C35" s="18">
        <v>32.41</v>
      </c>
      <c r="D35" s="20">
        <f t="shared" si="1"/>
        <v>8245.219377</v>
      </c>
      <c r="E35" s="17">
        <v>10.6891</v>
      </c>
      <c r="G35" s="24">
        <f t="shared" si="2"/>
        <v>339379.0058</v>
      </c>
    </row>
    <row r="36">
      <c r="A36" s="2">
        <v>45863.0</v>
      </c>
      <c r="B36" s="18">
        <v>267227.56</v>
      </c>
      <c r="C36" s="18">
        <v>32.45</v>
      </c>
      <c r="D36" s="20">
        <f t="shared" si="1"/>
        <v>8235.055778</v>
      </c>
      <c r="E36" s="17">
        <v>10.6891</v>
      </c>
      <c r="G36" s="24">
        <f t="shared" si="2"/>
        <v>326017.6275</v>
      </c>
    </row>
    <row r="37">
      <c r="A37" s="2">
        <v>45895.0</v>
      </c>
      <c r="B37" s="18">
        <v>288605.77</v>
      </c>
      <c r="C37" s="18">
        <v>32.38</v>
      </c>
      <c r="D37" s="20">
        <f t="shared" si="1"/>
        <v>8913.0874</v>
      </c>
      <c r="E37" s="17">
        <v>10.6891</v>
      </c>
      <c r="G37" s="24">
        <f t="shared" si="2"/>
        <v>318891.5592</v>
      </c>
    </row>
    <row r="38">
      <c r="A38" s="2">
        <v>45926.0</v>
      </c>
      <c r="B38" s="18">
        <v>320673.08</v>
      </c>
      <c r="C38" s="18">
        <v>31.83</v>
      </c>
      <c r="D38" s="20">
        <f t="shared" si="1"/>
        <v>10074.55482</v>
      </c>
      <c r="E38" s="17">
        <v>10.6891</v>
      </c>
      <c r="G38" s="24">
        <f t="shared" si="2"/>
        <v>305530.1808</v>
      </c>
    </row>
    <row r="39">
      <c r="A39" s="2">
        <v>45957.0</v>
      </c>
      <c r="B39" s="18">
        <v>267227.56</v>
      </c>
      <c r="C39" s="18">
        <v>32.66</v>
      </c>
      <c r="D39" s="20">
        <f t="shared" si="1"/>
        <v>8182.105328</v>
      </c>
      <c r="E39" s="17">
        <v>10.6891</v>
      </c>
      <c r="G39" s="24">
        <f t="shared" si="2"/>
        <v>309983.9733</v>
      </c>
    </row>
    <row r="40">
      <c r="A40" s="2">
        <v>45992.0</v>
      </c>
      <c r="B40" s="18">
        <v>267227.56</v>
      </c>
      <c r="C40" s="18">
        <v>31.97</v>
      </c>
      <c r="D40" s="20">
        <f t="shared" si="1"/>
        <v>8358.697529</v>
      </c>
      <c r="E40" s="17">
        <v>10.6891</v>
      </c>
      <c r="G40" s="24">
        <f t="shared" si="2"/>
        <v>304639.4217</v>
      </c>
    </row>
    <row r="41">
      <c r="A41" s="2">
        <v>46020.0</v>
      </c>
      <c r="B41" s="18">
        <v>320673.08</v>
      </c>
      <c r="C41" s="18">
        <v>31.44</v>
      </c>
      <c r="D41" s="20">
        <f t="shared" si="1"/>
        <v>10199.52545</v>
      </c>
      <c r="E41" s="17">
        <v>10.6891</v>
      </c>
      <c r="G41" s="24">
        <f t="shared" si="2"/>
        <v>295731.8367</v>
      </c>
    </row>
    <row r="42">
      <c r="A42" s="2">
        <v>46052.0</v>
      </c>
      <c r="B42" s="18">
        <v>427564.1</v>
      </c>
      <c r="C42" s="18">
        <v>31.4</v>
      </c>
      <c r="D42" s="20">
        <f t="shared" si="1"/>
        <v>13616.69108</v>
      </c>
      <c r="E42" s="17">
        <v>10.6891</v>
      </c>
      <c r="G42" s="24">
        <f t="shared" si="2"/>
        <v>286824.2508</v>
      </c>
    </row>
    <row r="43">
      <c r="A43" s="2">
        <v>46078.0</v>
      </c>
      <c r="B43" s="18">
        <v>160336.54</v>
      </c>
      <c r="C43" s="18">
        <v>32.0</v>
      </c>
      <c r="D43" s="20">
        <f t="shared" si="1"/>
        <v>5010.516875</v>
      </c>
      <c r="E43" s="17">
        <v>10.6891</v>
      </c>
      <c r="G43" s="24">
        <f t="shared" si="2"/>
        <v>282370.4583</v>
      </c>
    </row>
    <row r="44">
      <c r="A44" s="2">
        <v>46108.0</v>
      </c>
      <c r="B44" s="18">
        <v>267227.56</v>
      </c>
      <c r="C44" s="18">
        <v>32.89</v>
      </c>
      <c r="D44" s="20">
        <f t="shared" si="1"/>
        <v>8124.887808</v>
      </c>
      <c r="E44" s="17">
        <v>10.6891</v>
      </c>
      <c r="G44" s="24">
        <f t="shared" si="2"/>
        <v>282370.4583</v>
      </c>
    </row>
    <row r="45">
      <c r="A45" s="2"/>
      <c r="B45" s="18"/>
      <c r="C45" s="18"/>
      <c r="D45" s="20"/>
      <c r="G45" s="10"/>
    </row>
    <row r="46">
      <c r="A46" s="2"/>
      <c r="B46" s="18"/>
      <c r="C46" s="18"/>
      <c r="D46" s="20"/>
      <c r="G46" s="10"/>
    </row>
    <row r="47">
      <c r="A47" s="2"/>
      <c r="B47" s="18"/>
      <c r="C47" s="18"/>
      <c r="D47" s="20"/>
    </row>
    <row r="48">
      <c r="A48" s="11"/>
      <c r="B48" s="27"/>
      <c r="C48" s="27"/>
      <c r="D48" s="28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">
        <v>45737.0</v>
      </c>
      <c r="B49" s="29">
        <f>I55</f>
        <v>12255709.67</v>
      </c>
      <c r="C49" s="22"/>
      <c r="D49" s="30"/>
      <c r="F49" s="1" t="s">
        <v>22</v>
      </c>
      <c r="G49" s="29">
        <f>G37</f>
        <v>318891.5592</v>
      </c>
    </row>
    <row r="50">
      <c r="A50" s="13">
        <f t="array" ref="A50:G50">INDEX(A2:G47, COUNTA(A2:A47), 0)</f>
        <v>46108</v>
      </c>
      <c r="B50" s="29">
        <v>267227.56</v>
      </c>
      <c r="C50" s="29">
        <v>32.89</v>
      </c>
      <c r="D50" s="31">
        <v>8124.8878078443295</v>
      </c>
      <c r="E50" s="32">
        <v>10.6891</v>
      </c>
      <c r="F50" s="32"/>
      <c r="G50" s="29">
        <v>282370.4583333334</v>
      </c>
    </row>
    <row r="51">
      <c r="A51" s="11"/>
      <c r="B51" s="27"/>
      <c r="C51" s="27"/>
      <c r="D51" s="28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33" t="s">
        <v>26</v>
      </c>
      <c r="B52" s="34">
        <f>sum(B3:B48)</f>
        <v>16516617.71</v>
      </c>
      <c r="C52" s="22"/>
      <c r="D52" s="34">
        <f>sum(D3:D48)</f>
        <v>480473.3775</v>
      </c>
    </row>
    <row r="53">
      <c r="A53" s="1" t="s">
        <v>27</v>
      </c>
      <c r="B53" s="8">
        <f>B52/C58</f>
        <v>0.8554610183</v>
      </c>
      <c r="C53" s="22"/>
      <c r="D53" s="8">
        <f>D52/C59</f>
        <v>0.9186629997</v>
      </c>
    </row>
    <row r="54">
      <c r="A54" s="1" t="s">
        <v>28</v>
      </c>
      <c r="B54" s="26">
        <f>B52/E50</f>
        <v>1545183.197</v>
      </c>
      <c r="C54" s="22"/>
      <c r="D54" s="30"/>
      <c r="F54" s="1"/>
      <c r="I54" s="1" t="s">
        <v>29</v>
      </c>
      <c r="K54" s="1" t="s">
        <v>30</v>
      </c>
    </row>
    <row r="55">
      <c r="B55" s="22"/>
      <c r="C55" s="22"/>
      <c r="D55" s="30"/>
      <c r="F55" s="1" t="s">
        <v>31</v>
      </c>
      <c r="G55" s="35">
        <f>AVERAGE(B3:B48)</f>
        <v>393252.8026</v>
      </c>
      <c r="I55" s="36">
        <v>1.2255709674522001E7</v>
      </c>
      <c r="K55" s="1">
        <v>1.65</v>
      </c>
    </row>
    <row r="56">
      <c r="A56" s="37" t="s">
        <v>26</v>
      </c>
      <c r="B56" s="22"/>
      <c r="C56" s="22"/>
      <c r="D56" s="30"/>
      <c r="F56" s="1" t="s">
        <v>32</v>
      </c>
      <c r="G56" s="38">
        <f>C58/G55</f>
        <v>49.09633414</v>
      </c>
      <c r="I56" s="16">
        <f>I55-C58</f>
        <v>-7051561.325</v>
      </c>
      <c r="K56" s="17">
        <f>K55*C57</f>
        <v>17.637015</v>
      </c>
    </row>
    <row r="57">
      <c r="A57" s="1" t="s">
        <v>33</v>
      </c>
      <c r="B57" s="22"/>
      <c r="C57" s="22">
        <f>10.6891</f>
        <v>10.6891</v>
      </c>
      <c r="D57" s="19" t="s">
        <v>16</v>
      </c>
      <c r="F57" s="1" t="s">
        <v>34</v>
      </c>
      <c r="G57" s="38">
        <f>G56/12</f>
        <v>4.091361179</v>
      </c>
    </row>
    <row r="58">
      <c r="A58" s="1" t="s">
        <v>35</v>
      </c>
      <c r="B58" s="22"/>
      <c r="C58" s="39">
        <v>1.9307271E7</v>
      </c>
      <c r="D58" s="19" t="s">
        <v>36</v>
      </c>
      <c r="F58" s="1" t="s">
        <v>37</v>
      </c>
      <c r="G58" s="40">
        <v>4.0</v>
      </c>
      <c r="I58" s="3"/>
    </row>
    <row r="59">
      <c r="A59" s="1" t="s">
        <v>38</v>
      </c>
      <c r="B59" s="22"/>
      <c r="C59" s="39">
        <v>523013.74675959884</v>
      </c>
      <c r="D59" s="19" t="s">
        <v>39</v>
      </c>
    </row>
    <row r="60">
      <c r="A60" s="1" t="s">
        <v>40</v>
      </c>
      <c r="B60" s="22"/>
      <c r="C60" s="22">
        <v>1806257.8701668056</v>
      </c>
      <c r="D60" s="19" t="s">
        <v>36</v>
      </c>
      <c r="F60" s="1" t="s">
        <v>41</v>
      </c>
      <c r="I60" s="41"/>
    </row>
    <row r="61">
      <c r="B61" s="22"/>
      <c r="C61" s="22"/>
      <c r="D61" s="30"/>
      <c r="F61" s="1">
        <v>2022.0</v>
      </c>
      <c r="G61" s="42">
        <v>557500.0</v>
      </c>
      <c r="I61" s="22"/>
    </row>
    <row r="62">
      <c r="A62" s="37" t="s">
        <v>42</v>
      </c>
      <c r="B62" s="22"/>
      <c r="C62" s="22"/>
      <c r="D62" s="30"/>
      <c r="F62" s="1">
        <v>2023.0</v>
      </c>
      <c r="G62" s="42">
        <v>546876.0</v>
      </c>
    </row>
    <row r="63">
      <c r="A63" s="37" t="s">
        <v>43</v>
      </c>
      <c r="B63" s="18"/>
      <c r="C63" s="18"/>
      <c r="D63" s="18"/>
    </row>
    <row r="64">
      <c r="A64" s="1" t="s">
        <v>33</v>
      </c>
      <c r="B64" s="18"/>
      <c r="C64" s="18">
        <v>6.6891</v>
      </c>
      <c r="D64" s="18" t="s">
        <v>16</v>
      </c>
      <c r="F64" s="1" t="s">
        <v>44</v>
      </c>
      <c r="G64" s="43">
        <f>xirr(B2:B49,A2:A49)</f>
        <v>0.2314346273</v>
      </c>
    </row>
    <row r="65">
      <c r="A65" s="1" t="s">
        <v>45</v>
      </c>
      <c r="B65" s="18"/>
      <c r="C65" s="18">
        <v>1.1639034E7</v>
      </c>
      <c r="D65" s="18" t="s">
        <v>36</v>
      </c>
      <c r="F65" s="37"/>
    </row>
    <row r="66">
      <c r="A66" s="1" t="s">
        <v>46</v>
      </c>
      <c r="B66" s="22"/>
      <c r="C66" s="18">
        <v>318703.0</v>
      </c>
      <c r="D66" s="19" t="s">
        <v>39</v>
      </c>
      <c r="F66" s="1" t="s">
        <v>47</v>
      </c>
      <c r="G66" s="16">
        <f>C58-B52</f>
        <v>2790653.29</v>
      </c>
      <c r="H66" s="1" t="s">
        <v>36</v>
      </c>
    </row>
    <row r="67">
      <c r="A67" s="1" t="s">
        <v>18</v>
      </c>
      <c r="B67" s="22"/>
      <c r="C67" s="18">
        <v>36.52000138059573</v>
      </c>
      <c r="D67" s="19"/>
      <c r="F67" s="1" t="s">
        <v>48</v>
      </c>
      <c r="G67" s="44">
        <f>G66/G49</f>
        <v>8.751104285</v>
      </c>
      <c r="H67" s="1" t="s">
        <v>49</v>
      </c>
    </row>
    <row r="68">
      <c r="A68" s="1" t="s">
        <v>50</v>
      </c>
      <c r="B68" s="22"/>
      <c r="C68" s="18">
        <v>468237.0</v>
      </c>
      <c r="D68" s="18" t="s">
        <v>36</v>
      </c>
      <c r="F68" s="1" t="s">
        <v>34</v>
      </c>
      <c r="G68" s="45">
        <f>G67/12</f>
        <v>0.7292586904</v>
      </c>
      <c r="H68" s="1" t="s">
        <v>51</v>
      </c>
    </row>
    <row r="69">
      <c r="A69" s="37" t="s">
        <v>52</v>
      </c>
      <c r="B69" s="22"/>
      <c r="C69" s="22"/>
      <c r="D69" s="30"/>
      <c r="F69" s="1" t="s">
        <v>53</v>
      </c>
      <c r="G69" s="46">
        <f>DATEDIF(A2,TODAY(),"M")</f>
        <v>42</v>
      </c>
      <c r="H69" s="1" t="s">
        <v>49</v>
      </c>
    </row>
    <row r="70">
      <c r="A70" s="1" t="s">
        <v>54</v>
      </c>
      <c r="B70" s="2"/>
      <c r="C70" s="2">
        <v>44812.0</v>
      </c>
      <c r="D70" s="30"/>
      <c r="F70" s="1" t="s">
        <v>32</v>
      </c>
      <c r="G70" s="45">
        <f>G69+G67</f>
        <v>50.75110429</v>
      </c>
      <c r="H70" s="1" t="s">
        <v>49</v>
      </c>
    </row>
    <row r="71">
      <c r="A71" s="1" t="s">
        <v>35</v>
      </c>
      <c r="B71" s="18"/>
      <c r="C71" s="18">
        <v>1.2107271E7</v>
      </c>
      <c r="D71" s="18" t="s">
        <v>36</v>
      </c>
      <c r="F71" s="1" t="s">
        <v>34</v>
      </c>
      <c r="G71" s="45">
        <f>G70/12</f>
        <v>4.22925869</v>
      </c>
      <c r="H71" s="1" t="s">
        <v>51</v>
      </c>
    </row>
    <row r="72">
      <c r="A72" s="1" t="s">
        <v>18</v>
      </c>
      <c r="B72" s="22"/>
      <c r="C72" s="18">
        <v>36.52000138059573</v>
      </c>
      <c r="D72" s="18" t="s">
        <v>36</v>
      </c>
      <c r="H72" s="47"/>
    </row>
    <row r="73">
      <c r="A73" s="1" t="s">
        <v>38</v>
      </c>
      <c r="B73" s="22"/>
      <c r="C73" s="22">
        <v>331524.3850574712</v>
      </c>
      <c r="D73" s="19" t="s">
        <v>39</v>
      </c>
      <c r="H73" s="47"/>
    </row>
    <row r="74">
      <c r="B74" s="22"/>
      <c r="C74" s="22"/>
      <c r="D74" s="30"/>
      <c r="G74" s="41"/>
      <c r="H74" s="47"/>
    </row>
    <row r="75">
      <c r="A75" s="37" t="s">
        <v>55</v>
      </c>
      <c r="B75" s="22"/>
      <c r="C75" s="22"/>
      <c r="D75" s="30"/>
    </row>
    <row r="76">
      <c r="A76" s="37" t="s">
        <v>43</v>
      </c>
      <c r="B76" s="22"/>
      <c r="C76" s="22"/>
      <c r="D76" s="30"/>
    </row>
    <row r="77">
      <c r="A77" s="1" t="s">
        <v>33</v>
      </c>
      <c r="B77" s="18"/>
      <c r="C77" s="18">
        <v>4.0</v>
      </c>
      <c r="D77" s="18" t="s">
        <v>16</v>
      </c>
    </row>
    <row r="78">
      <c r="A78" s="1" t="s">
        <v>54</v>
      </c>
      <c r="B78" s="22"/>
      <c r="C78" s="2">
        <v>44838.0</v>
      </c>
      <c r="D78" s="30"/>
    </row>
    <row r="79">
      <c r="A79" s="1" t="s">
        <v>45</v>
      </c>
      <c r="B79" s="18"/>
      <c r="C79" s="18">
        <v>7200000.0</v>
      </c>
      <c r="D79" s="18" t="s">
        <v>36</v>
      </c>
    </row>
    <row r="80">
      <c r="A80" s="1" t="s">
        <v>18</v>
      </c>
      <c r="B80" s="22"/>
      <c r="C80" s="18">
        <v>37.6</v>
      </c>
      <c r="D80" s="18" t="s">
        <v>36</v>
      </c>
    </row>
    <row r="81">
      <c r="A81" s="1" t="s">
        <v>38</v>
      </c>
      <c r="B81" s="22"/>
      <c r="C81" s="22">
        <v>191489.36170212764</v>
      </c>
      <c r="D81" s="19" t="s">
        <v>39</v>
      </c>
    </row>
    <row r="82">
      <c r="B82" s="22"/>
      <c r="C82" s="22"/>
      <c r="D82" s="30"/>
    </row>
    <row r="83">
      <c r="B83" s="22"/>
      <c r="C83" s="22"/>
      <c r="D83" s="30"/>
    </row>
    <row r="84">
      <c r="B84" s="22"/>
      <c r="C84" s="22"/>
      <c r="D84" s="30"/>
    </row>
    <row r="85">
      <c r="B85" s="22"/>
      <c r="C85" s="22"/>
      <c r="D85" s="30"/>
    </row>
    <row r="86">
      <c r="B86" s="22"/>
      <c r="C86" s="22"/>
      <c r="D86" s="30"/>
    </row>
    <row r="87">
      <c r="B87" s="22"/>
      <c r="C87" s="22"/>
      <c r="D87" s="30"/>
    </row>
    <row r="88">
      <c r="B88" s="22"/>
      <c r="C88" s="22"/>
      <c r="D88" s="30"/>
    </row>
    <row r="89">
      <c r="B89" s="22"/>
      <c r="C89" s="22"/>
      <c r="D89" s="30"/>
    </row>
    <row r="90">
      <c r="B90" s="22"/>
      <c r="C90" s="22"/>
      <c r="D90" s="30"/>
    </row>
    <row r="91">
      <c r="B91" s="22"/>
      <c r="C91" s="22"/>
      <c r="D91" s="30"/>
    </row>
    <row r="92">
      <c r="B92" s="22"/>
      <c r="C92" s="22"/>
      <c r="D92" s="30"/>
    </row>
    <row r="93">
      <c r="B93" s="22"/>
      <c r="C93" s="22"/>
      <c r="D93" s="30"/>
    </row>
    <row r="94">
      <c r="B94" s="22"/>
      <c r="C94" s="22"/>
      <c r="D94" s="30"/>
    </row>
    <row r="95">
      <c r="B95" s="22"/>
      <c r="C95" s="22"/>
      <c r="D95" s="30"/>
    </row>
    <row r="96">
      <c r="B96" s="22"/>
      <c r="C96" s="22"/>
      <c r="D96" s="30"/>
    </row>
    <row r="97">
      <c r="B97" s="22"/>
      <c r="C97" s="22"/>
      <c r="D97" s="30"/>
    </row>
    <row r="98">
      <c r="B98" s="22"/>
      <c r="C98" s="22"/>
      <c r="D98" s="30"/>
    </row>
    <row r="99">
      <c r="B99" s="22"/>
      <c r="C99" s="22"/>
      <c r="D99" s="30"/>
    </row>
    <row r="100">
      <c r="B100" s="22"/>
      <c r="C100" s="22"/>
      <c r="D100" s="30"/>
    </row>
    <row r="101">
      <c r="B101" s="22"/>
      <c r="C101" s="22"/>
      <c r="D101" s="30"/>
    </row>
    <row r="102">
      <c r="B102" s="22"/>
      <c r="C102" s="22"/>
      <c r="D102" s="30"/>
    </row>
    <row r="103">
      <c r="B103" s="22"/>
      <c r="C103" s="22"/>
      <c r="D103" s="30"/>
    </row>
    <row r="104">
      <c r="B104" s="22"/>
      <c r="C104" s="22"/>
      <c r="D104" s="30"/>
    </row>
    <row r="105">
      <c r="B105" s="22"/>
      <c r="C105" s="22"/>
      <c r="D105" s="30"/>
    </row>
    <row r="106">
      <c r="B106" s="22"/>
      <c r="C106" s="22"/>
      <c r="D106" s="30"/>
    </row>
    <row r="107">
      <c r="B107" s="22"/>
      <c r="C107" s="22"/>
      <c r="D107" s="30"/>
    </row>
    <row r="108">
      <c r="B108" s="22"/>
      <c r="C108" s="22"/>
      <c r="D108" s="30"/>
    </row>
    <row r="109">
      <c r="B109" s="22"/>
      <c r="C109" s="22"/>
      <c r="D109" s="30"/>
    </row>
    <row r="110">
      <c r="B110" s="22"/>
      <c r="C110" s="22"/>
      <c r="D110" s="30"/>
    </row>
    <row r="111">
      <c r="B111" s="22"/>
      <c r="C111" s="22"/>
      <c r="D111" s="30"/>
    </row>
    <row r="112">
      <c r="B112" s="22"/>
      <c r="C112" s="22"/>
      <c r="D112" s="30"/>
    </row>
    <row r="113">
      <c r="B113" s="22"/>
      <c r="C113" s="22"/>
      <c r="D113" s="30"/>
    </row>
    <row r="114">
      <c r="B114" s="22"/>
      <c r="C114" s="22"/>
      <c r="D114" s="30"/>
    </row>
    <row r="115">
      <c r="B115" s="22"/>
      <c r="C115" s="22"/>
      <c r="D115" s="30"/>
    </row>
    <row r="116">
      <c r="B116" s="22"/>
      <c r="C116" s="22"/>
      <c r="D116" s="30"/>
    </row>
    <row r="117">
      <c r="B117" s="22"/>
      <c r="C117" s="22"/>
      <c r="D117" s="30"/>
    </row>
    <row r="118">
      <c r="B118" s="22"/>
      <c r="C118" s="22"/>
      <c r="D118" s="30"/>
    </row>
    <row r="119">
      <c r="B119" s="22"/>
      <c r="C119" s="22"/>
      <c r="D119" s="30"/>
    </row>
    <row r="120">
      <c r="B120" s="22"/>
      <c r="C120" s="22"/>
      <c r="D120" s="30"/>
    </row>
    <row r="121">
      <c r="B121" s="22"/>
      <c r="C121" s="22"/>
      <c r="D121" s="30"/>
    </row>
    <row r="122">
      <c r="B122" s="22"/>
      <c r="C122" s="22"/>
      <c r="D122" s="30"/>
    </row>
    <row r="123">
      <c r="B123" s="22"/>
      <c r="C123" s="22"/>
      <c r="D123" s="30"/>
    </row>
    <row r="124">
      <c r="B124" s="22"/>
      <c r="C124" s="22"/>
      <c r="D124" s="30"/>
    </row>
    <row r="125">
      <c r="B125" s="22"/>
      <c r="C125" s="22"/>
      <c r="D125" s="30"/>
    </row>
    <row r="126">
      <c r="B126" s="22"/>
      <c r="C126" s="22"/>
      <c r="D126" s="30"/>
    </row>
    <row r="127">
      <c r="B127" s="22"/>
      <c r="C127" s="22"/>
      <c r="D127" s="30"/>
    </row>
    <row r="128">
      <c r="B128" s="22"/>
      <c r="C128" s="22"/>
      <c r="D128" s="30"/>
    </row>
    <row r="129">
      <c r="B129" s="22"/>
      <c r="C129" s="22"/>
      <c r="D129" s="30"/>
    </row>
    <row r="130">
      <c r="B130" s="22"/>
      <c r="C130" s="22"/>
      <c r="D130" s="30"/>
    </row>
    <row r="131">
      <c r="B131" s="22"/>
      <c r="C131" s="22"/>
      <c r="D131" s="30"/>
    </row>
    <row r="132">
      <c r="B132" s="22"/>
      <c r="C132" s="22"/>
      <c r="D132" s="30"/>
    </row>
    <row r="133">
      <c r="B133" s="22"/>
      <c r="C133" s="22"/>
      <c r="D133" s="30"/>
    </row>
    <row r="134">
      <c r="B134" s="22"/>
      <c r="C134" s="22"/>
      <c r="D134" s="30"/>
    </row>
    <row r="135">
      <c r="B135" s="22"/>
      <c r="C135" s="22"/>
      <c r="D135" s="30"/>
    </row>
    <row r="136">
      <c r="B136" s="22"/>
      <c r="C136" s="22"/>
      <c r="D136" s="30"/>
    </row>
    <row r="137">
      <c r="B137" s="22"/>
      <c r="C137" s="22"/>
      <c r="D137" s="30"/>
    </row>
    <row r="138">
      <c r="B138" s="22"/>
      <c r="C138" s="22"/>
      <c r="D138" s="30"/>
    </row>
    <row r="139">
      <c r="B139" s="22"/>
      <c r="C139" s="22"/>
      <c r="D139" s="30"/>
    </row>
    <row r="140">
      <c r="B140" s="22"/>
      <c r="C140" s="22"/>
      <c r="D140" s="30"/>
    </row>
    <row r="141">
      <c r="B141" s="22"/>
      <c r="C141" s="22"/>
      <c r="D141" s="30"/>
    </row>
    <row r="142">
      <c r="B142" s="22"/>
      <c r="C142" s="22"/>
      <c r="D142" s="30"/>
    </row>
    <row r="143">
      <c r="B143" s="22"/>
      <c r="C143" s="22"/>
      <c r="D143" s="30"/>
    </row>
    <row r="144">
      <c r="B144" s="22"/>
      <c r="C144" s="22"/>
      <c r="D144" s="30"/>
    </row>
    <row r="145">
      <c r="B145" s="22"/>
      <c r="C145" s="22"/>
      <c r="D145" s="30"/>
    </row>
    <row r="146">
      <c r="B146" s="22"/>
      <c r="C146" s="22"/>
      <c r="D146" s="30"/>
    </row>
    <row r="147">
      <c r="B147" s="22"/>
      <c r="C147" s="22"/>
      <c r="D147" s="30"/>
    </row>
    <row r="148">
      <c r="B148" s="22"/>
      <c r="C148" s="22"/>
      <c r="D148" s="30"/>
    </row>
    <row r="149">
      <c r="B149" s="22"/>
      <c r="C149" s="22"/>
      <c r="D149" s="30"/>
    </row>
    <row r="150">
      <c r="B150" s="22"/>
      <c r="C150" s="22"/>
      <c r="D150" s="30"/>
    </row>
    <row r="151">
      <c r="B151" s="22"/>
      <c r="C151" s="22"/>
      <c r="D151" s="30"/>
    </row>
    <row r="152">
      <c r="B152" s="22"/>
      <c r="C152" s="22"/>
      <c r="D152" s="30"/>
    </row>
    <row r="153">
      <c r="B153" s="22"/>
      <c r="C153" s="22"/>
      <c r="D153" s="30"/>
    </row>
    <row r="154">
      <c r="B154" s="22"/>
      <c r="C154" s="22"/>
      <c r="D154" s="30"/>
    </row>
    <row r="155">
      <c r="B155" s="22"/>
      <c r="C155" s="22"/>
      <c r="D155" s="30"/>
    </row>
    <row r="156">
      <c r="B156" s="22"/>
      <c r="C156" s="22"/>
      <c r="D156" s="30"/>
    </row>
    <row r="157">
      <c r="B157" s="22"/>
      <c r="C157" s="22"/>
      <c r="D157" s="30"/>
    </row>
    <row r="158">
      <c r="B158" s="22"/>
      <c r="C158" s="22"/>
      <c r="D158" s="30"/>
    </row>
    <row r="159">
      <c r="B159" s="22"/>
      <c r="C159" s="22"/>
      <c r="D159" s="30"/>
    </row>
    <row r="160">
      <c r="B160" s="22"/>
      <c r="C160" s="22"/>
      <c r="D160" s="30"/>
    </row>
    <row r="161">
      <c r="B161" s="22"/>
      <c r="C161" s="22"/>
      <c r="D161" s="30"/>
    </row>
    <row r="162">
      <c r="B162" s="22"/>
      <c r="C162" s="22"/>
      <c r="D162" s="30"/>
    </row>
    <row r="163">
      <c r="B163" s="22"/>
      <c r="C163" s="22"/>
      <c r="D163" s="30"/>
    </row>
    <row r="164">
      <c r="B164" s="22"/>
      <c r="C164" s="22"/>
      <c r="D164" s="30"/>
    </row>
    <row r="165">
      <c r="B165" s="22"/>
      <c r="C165" s="22"/>
      <c r="D165" s="30"/>
    </row>
    <row r="166">
      <c r="B166" s="22"/>
      <c r="C166" s="22"/>
      <c r="D166" s="30"/>
    </row>
    <row r="167">
      <c r="B167" s="22"/>
      <c r="C167" s="22"/>
      <c r="D167" s="30"/>
    </row>
    <row r="168">
      <c r="B168" s="22"/>
      <c r="C168" s="22"/>
      <c r="D168" s="30"/>
    </row>
    <row r="169">
      <c r="B169" s="22"/>
      <c r="C169" s="22"/>
      <c r="D169" s="30"/>
    </row>
    <row r="170">
      <c r="B170" s="22"/>
      <c r="C170" s="22"/>
      <c r="D170" s="30"/>
    </row>
    <row r="171">
      <c r="B171" s="22"/>
      <c r="C171" s="22"/>
      <c r="D171" s="30"/>
    </row>
    <row r="172">
      <c r="B172" s="22"/>
      <c r="C172" s="22"/>
      <c r="D172" s="30"/>
    </row>
    <row r="173">
      <c r="B173" s="22"/>
      <c r="C173" s="22"/>
      <c r="D173" s="30"/>
    </row>
    <row r="174">
      <c r="B174" s="22"/>
      <c r="C174" s="22"/>
      <c r="D174" s="30"/>
    </row>
    <row r="175">
      <c r="B175" s="22"/>
      <c r="C175" s="22"/>
      <c r="D175" s="30"/>
    </row>
    <row r="176">
      <c r="B176" s="22"/>
      <c r="C176" s="22"/>
      <c r="D176" s="30"/>
    </row>
    <row r="177">
      <c r="B177" s="22"/>
      <c r="C177" s="22"/>
      <c r="D177" s="30"/>
    </row>
    <row r="178">
      <c r="B178" s="22"/>
      <c r="C178" s="22"/>
      <c r="D178" s="30"/>
    </row>
    <row r="179">
      <c r="B179" s="22"/>
      <c r="C179" s="22"/>
      <c r="D179" s="30"/>
    </row>
    <row r="180">
      <c r="B180" s="22"/>
      <c r="C180" s="22"/>
      <c r="D180" s="30"/>
    </row>
    <row r="181">
      <c r="B181" s="22"/>
      <c r="C181" s="22"/>
      <c r="D181" s="30"/>
    </row>
    <row r="182">
      <c r="B182" s="22"/>
      <c r="C182" s="22"/>
      <c r="D182" s="30"/>
    </row>
    <row r="183">
      <c r="B183" s="22"/>
      <c r="C183" s="22"/>
      <c r="D183" s="30"/>
    </row>
    <row r="184">
      <c r="B184" s="22"/>
      <c r="C184" s="22"/>
      <c r="D184" s="30"/>
    </row>
    <row r="185">
      <c r="B185" s="22"/>
      <c r="C185" s="22"/>
      <c r="D185" s="30"/>
    </row>
    <row r="186">
      <c r="B186" s="22"/>
      <c r="C186" s="22"/>
      <c r="D186" s="30"/>
    </row>
    <row r="187">
      <c r="B187" s="22"/>
      <c r="C187" s="22"/>
      <c r="D187" s="30"/>
    </row>
    <row r="188">
      <c r="B188" s="22"/>
      <c r="C188" s="22"/>
      <c r="D188" s="30"/>
    </row>
    <row r="189">
      <c r="B189" s="22"/>
      <c r="C189" s="22"/>
      <c r="D189" s="30"/>
    </row>
    <row r="190">
      <c r="B190" s="22"/>
      <c r="C190" s="22"/>
      <c r="D190" s="30"/>
    </row>
    <row r="191">
      <c r="B191" s="22"/>
      <c r="C191" s="22"/>
      <c r="D191" s="30"/>
    </row>
    <row r="192">
      <c r="B192" s="22"/>
      <c r="C192" s="22"/>
      <c r="D192" s="30"/>
    </row>
    <row r="193">
      <c r="B193" s="22"/>
      <c r="C193" s="22"/>
      <c r="D193" s="30"/>
    </row>
    <row r="194">
      <c r="B194" s="22"/>
      <c r="C194" s="22"/>
      <c r="D194" s="30"/>
    </row>
    <row r="195">
      <c r="B195" s="22"/>
      <c r="C195" s="22"/>
      <c r="D195" s="30"/>
    </row>
    <row r="196">
      <c r="B196" s="22"/>
      <c r="C196" s="22"/>
      <c r="D196" s="30"/>
    </row>
    <row r="197">
      <c r="B197" s="22"/>
      <c r="C197" s="22"/>
      <c r="D197" s="30"/>
    </row>
    <row r="198">
      <c r="B198" s="22"/>
      <c r="C198" s="22"/>
      <c r="D198" s="30"/>
    </row>
    <row r="199">
      <c r="B199" s="22"/>
      <c r="C199" s="22"/>
      <c r="D199" s="30"/>
    </row>
    <row r="200">
      <c r="B200" s="22"/>
      <c r="C200" s="22"/>
      <c r="D200" s="30"/>
    </row>
    <row r="201">
      <c r="B201" s="22"/>
      <c r="C201" s="22"/>
      <c r="D201" s="30"/>
    </row>
    <row r="202">
      <c r="B202" s="22"/>
      <c r="C202" s="22"/>
      <c r="D202" s="30"/>
    </row>
    <row r="203">
      <c r="B203" s="22"/>
      <c r="C203" s="22"/>
      <c r="D203" s="30"/>
    </row>
    <row r="204">
      <c r="B204" s="22"/>
      <c r="C204" s="22"/>
      <c r="D204" s="30"/>
    </row>
    <row r="205">
      <c r="B205" s="22"/>
      <c r="C205" s="22"/>
      <c r="D205" s="30"/>
    </row>
    <row r="206">
      <c r="B206" s="22"/>
      <c r="C206" s="22"/>
      <c r="D206" s="30"/>
    </row>
    <row r="207">
      <c r="B207" s="22"/>
      <c r="C207" s="22"/>
      <c r="D207" s="30"/>
    </row>
    <row r="208">
      <c r="B208" s="22"/>
      <c r="C208" s="22"/>
      <c r="D208" s="30"/>
    </row>
    <row r="209">
      <c r="B209" s="22"/>
      <c r="C209" s="22"/>
      <c r="D209" s="30"/>
    </row>
    <row r="210">
      <c r="B210" s="22"/>
      <c r="C210" s="22"/>
      <c r="D210" s="30"/>
    </row>
    <row r="211">
      <c r="B211" s="22"/>
      <c r="C211" s="22"/>
      <c r="D211" s="30"/>
    </row>
    <row r="212">
      <c r="B212" s="22"/>
      <c r="C212" s="22"/>
      <c r="D212" s="30"/>
    </row>
    <row r="213">
      <c r="B213" s="22"/>
      <c r="C213" s="22"/>
      <c r="D213" s="30"/>
    </row>
    <row r="214">
      <c r="B214" s="22"/>
      <c r="C214" s="22"/>
      <c r="D214" s="30"/>
    </row>
    <row r="215">
      <c r="B215" s="22"/>
      <c r="C215" s="22"/>
      <c r="D215" s="30"/>
    </row>
    <row r="216">
      <c r="B216" s="22"/>
      <c r="C216" s="22"/>
      <c r="D216" s="30"/>
    </row>
    <row r="217">
      <c r="B217" s="22"/>
      <c r="C217" s="22"/>
      <c r="D217" s="30"/>
    </row>
    <row r="218">
      <c r="B218" s="22"/>
      <c r="C218" s="22"/>
      <c r="D218" s="30"/>
    </row>
    <row r="219">
      <c r="B219" s="22"/>
      <c r="C219" s="22"/>
      <c r="D219" s="30"/>
    </row>
    <row r="220">
      <c r="B220" s="22"/>
      <c r="C220" s="22"/>
      <c r="D220" s="30"/>
    </row>
    <row r="221">
      <c r="B221" s="22"/>
      <c r="C221" s="22"/>
      <c r="D221" s="30"/>
    </row>
    <row r="222">
      <c r="B222" s="22"/>
      <c r="C222" s="22"/>
      <c r="D222" s="30"/>
    </row>
    <row r="223">
      <c r="B223" s="22"/>
      <c r="C223" s="22"/>
      <c r="D223" s="30"/>
    </row>
    <row r="224">
      <c r="B224" s="22"/>
      <c r="C224" s="22"/>
      <c r="D224" s="30"/>
    </row>
    <row r="225">
      <c r="B225" s="22"/>
      <c r="C225" s="22"/>
      <c r="D225" s="30"/>
    </row>
    <row r="226">
      <c r="B226" s="22"/>
      <c r="C226" s="22"/>
      <c r="D226" s="30"/>
    </row>
    <row r="227">
      <c r="B227" s="22"/>
      <c r="C227" s="22"/>
      <c r="D227" s="30"/>
    </row>
    <row r="228">
      <c r="B228" s="22"/>
      <c r="C228" s="22"/>
      <c r="D228" s="30"/>
    </row>
    <row r="229">
      <c r="B229" s="22"/>
      <c r="C229" s="22"/>
      <c r="D229" s="30"/>
    </row>
    <row r="230">
      <c r="B230" s="22"/>
      <c r="C230" s="22"/>
      <c r="D230" s="30"/>
    </row>
    <row r="231">
      <c r="B231" s="22"/>
      <c r="C231" s="22"/>
      <c r="D231" s="30"/>
    </row>
    <row r="232">
      <c r="B232" s="22"/>
      <c r="C232" s="22"/>
      <c r="D232" s="30"/>
    </row>
    <row r="233">
      <c r="B233" s="22"/>
      <c r="C233" s="22"/>
      <c r="D233" s="30"/>
    </row>
    <row r="234">
      <c r="B234" s="22"/>
      <c r="C234" s="22"/>
      <c r="D234" s="30"/>
    </row>
    <row r="235">
      <c r="B235" s="22"/>
      <c r="C235" s="22"/>
      <c r="D235" s="30"/>
    </row>
    <row r="236">
      <c r="B236" s="22"/>
      <c r="C236" s="22"/>
      <c r="D236" s="30"/>
    </row>
    <row r="237">
      <c r="B237" s="22"/>
      <c r="C237" s="22"/>
      <c r="D237" s="30"/>
    </row>
    <row r="238">
      <c r="B238" s="22"/>
      <c r="C238" s="22"/>
      <c r="D238" s="30"/>
    </row>
    <row r="239">
      <c r="B239" s="22"/>
      <c r="C239" s="22"/>
      <c r="D239" s="30"/>
    </row>
    <row r="240">
      <c r="B240" s="22"/>
      <c r="C240" s="22"/>
      <c r="D240" s="30"/>
    </row>
    <row r="241">
      <c r="B241" s="22"/>
      <c r="C241" s="22"/>
      <c r="D241" s="30"/>
    </row>
    <row r="242">
      <c r="B242" s="22"/>
      <c r="C242" s="22"/>
      <c r="D242" s="30"/>
    </row>
    <row r="243">
      <c r="B243" s="22"/>
      <c r="C243" s="22"/>
      <c r="D243" s="30"/>
    </row>
    <row r="244">
      <c r="B244" s="22"/>
      <c r="C244" s="22"/>
      <c r="D244" s="30"/>
    </row>
    <row r="245">
      <c r="B245" s="22"/>
      <c r="C245" s="22"/>
      <c r="D245" s="30"/>
    </row>
    <row r="246">
      <c r="B246" s="22"/>
      <c r="C246" s="22"/>
      <c r="D246" s="30"/>
    </row>
    <row r="247">
      <c r="B247" s="22"/>
      <c r="C247" s="22"/>
      <c r="D247" s="30"/>
    </row>
    <row r="248">
      <c r="B248" s="22"/>
      <c r="C248" s="22"/>
      <c r="D248" s="30"/>
    </row>
    <row r="249">
      <c r="B249" s="22"/>
      <c r="C249" s="22"/>
      <c r="D249" s="30"/>
    </row>
    <row r="250">
      <c r="B250" s="22"/>
      <c r="C250" s="22"/>
      <c r="D250" s="30"/>
    </row>
    <row r="251">
      <c r="B251" s="22"/>
      <c r="C251" s="22"/>
      <c r="D251" s="30"/>
    </row>
    <row r="252">
      <c r="B252" s="22"/>
      <c r="C252" s="22"/>
      <c r="D252" s="30"/>
    </row>
    <row r="253">
      <c r="B253" s="22"/>
      <c r="C253" s="22"/>
      <c r="D253" s="30"/>
    </row>
    <row r="254">
      <c r="B254" s="22"/>
      <c r="C254" s="22"/>
      <c r="D254" s="30"/>
    </row>
    <row r="255">
      <c r="B255" s="22"/>
      <c r="C255" s="22"/>
      <c r="D255" s="30"/>
    </row>
    <row r="256">
      <c r="B256" s="22"/>
      <c r="C256" s="22"/>
      <c r="D256" s="30"/>
    </row>
    <row r="257">
      <c r="B257" s="22"/>
      <c r="C257" s="22"/>
      <c r="D257" s="30"/>
    </row>
    <row r="258">
      <c r="B258" s="22"/>
      <c r="C258" s="22"/>
      <c r="D258" s="30"/>
    </row>
    <row r="259">
      <c r="B259" s="22"/>
      <c r="C259" s="22"/>
      <c r="D259" s="30"/>
    </row>
    <row r="260">
      <c r="B260" s="22"/>
      <c r="C260" s="22"/>
      <c r="D260" s="30"/>
    </row>
    <row r="261">
      <c r="B261" s="22"/>
      <c r="C261" s="22"/>
      <c r="D261" s="30"/>
    </row>
    <row r="262">
      <c r="B262" s="22"/>
      <c r="C262" s="22"/>
      <c r="D262" s="30"/>
    </row>
    <row r="263">
      <c r="B263" s="22"/>
      <c r="C263" s="22"/>
      <c r="D263" s="30"/>
    </row>
    <row r="264">
      <c r="B264" s="22"/>
      <c r="C264" s="22"/>
      <c r="D264" s="30"/>
    </row>
    <row r="265">
      <c r="B265" s="22"/>
      <c r="C265" s="22"/>
      <c r="D265" s="30"/>
    </row>
    <row r="266">
      <c r="B266" s="22"/>
      <c r="C266" s="22"/>
      <c r="D266" s="30"/>
    </row>
    <row r="267">
      <c r="B267" s="22"/>
      <c r="C267" s="22"/>
      <c r="D267" s="30"/>
    </row>
    <row r="268">
      <c r="B268" s="22"/>
      <c r="C268" s="22"/>
      <c r="D268" s="30"/>
    </row>
    <row r="269">
      <c r="B269" s="22"/>
      <c r="C269" s="22"/>
      <c r="D269" s="30"/>
    </row>
    <row r="270">
      <c r="B270" s="22"/>
      <c r="C270" s="22"/>
      <c r="D270" s="30"/>
    </row>
    <row r="271">
      <c r="B271" s="22"/>
      <c r="C271" s="22"/>
      <c r="D271" s="30"/>
    </row>
    <row r="272">
      <c r="B272" s="22"/>
      <c r="C272" s="22"/>
      <c r="D272" s="30"/>
    </row>
    <row r="273">
      <c r="B273" s="22"/>
      <c r="C273" s="22"/>
      <c r="D273" s="30"/>
    </row>
    <row r="274">
      <c r="B274" s="22"/>
      <c r="C274" s="22"/>
      <c r="D274" s="30"/>
    </row>
    <row r="275">
      <c r="B275" s="22"/>
      <c r="C275" s="22"/>
      <c r="D275" s="30"/>
    </row>
    <row r="276">
      <c r="B276" s="22"/>
      <c r="C276" s="22"/>
      <c r="D276" s="30"/>
    </row>
    <row r="277">
      <c r="B277" s="22"/>
      <c r="C277" s="22"/>
      <c r="D277" s="30"/>
    </row>
    <row r="278">
      <c r="B278" s="22"/>
      <c r="C278" s="22"/>
      <c r="D278" s="30"/>
    </row>
    <row r="279">
      <c r="B279" s="22"/>
      <c r="C279" s="22"/>
      <c r="D279" s="30"/>
    </row>
    <row r="280">
      <c r="B280" s="22"/>
      <c r="C280" s="22"/>
      <c r="D280" s="30"/>
    </row>
    <row r="281">
      <c r="B281" s="22"/>
      <c r="C281" s="22"/>
      <c r="D281" s="30"/>
    </row>
    <row r="282">
      <c r="B282" s="22"/>
      <c r="C282" s="22"/>
      <c r="D282" s="30"/>
    </row>
    <row r="283">
      <c r="B283" s="22"/>
      <c r="C283" s="22"/>
      <c r="D283" s="30"/>
    </row>
    <row r="284">
      <c r="B284" s="22"/>
      <c r="C284" s="22"/>
      <c r="D284" s="30"/>
    </row>
    <row r="285">
      <c r="B285" s="22"/>
      <c r="C285" s="22"/>
      <c r="D285" s="30"/>
    </row>
    <row r="286">
      <c r="B286" s="22"/>
      <c r="C286" s="22"/>
      <c r="D286" s="30"/>
    </row>
    <row r="287">
      <c r="B287" s="22"/>
      <c r="C287" s="22"/>
      <c r="D287" s="30"/>
    </row>
    <row r="288">
      <c r="B288" s="22"/>
      <c r="C288" s="22"/>
      <c r="D288" s="30"/>
    </row>
    <row r="289">
      <c r="B289" s="22"/>
      <c r="C289" s="22"/>
      <c r="D289" s="30"/>
    </row>
    <row r="290">
      <c r="B290" s="22"/>
      <c r="C290" s="22"/>
      <c r="D290" s="30"/>
    </row>
    <row r="291">
      <c r="B291" s="22"/>
      <c r="C291" s="22"/>
      <c r="D291" s="30"/>
    </row>
    <row r="292">
      <c r="B292" s="22"/>
      <c r="C292" s="22"/>
      <c r="D292" s="30"/>
    </row>
    <row r="293">
      <c r="B293" s="22"/>
      <c r="C293" s="22"/>
      <c r="D293" s="30"/>
    </row>
    <row r="294">
      <c r="B294" s="22"/>
      <c r="C294" s="22"/>
      <c r="D294" s="30"/>
    </row>
    <row r="295">
      <c r="B295" s="22"/>
      <c r="C295" s="22"/>
      <c r="D295" s="30"/>
    </row>
    <row r="296">
      <c r="B296" s="22"/>
      <c r="C296" s="22"/>
      <c r="D296" s="30"/>
    </row>
    <row r="297">
      <c r="B297" s="22"/>
      <c r="C297" s="22"/>
      <c r="D297" s="30"/>
    </row>
    <row r="298">
      <c r="B298" s="22"/>
      <c r="C298" s="22"/>
      <c r="D298" s="30"/>
    </row>
    <row r="299">
      <c r="B299" s="22"/>
      <c r="C299" s="22"/>
      <c r="D299" s="30"/>
    </row>
    <row r="300">
      <c r="B300" s="22"/>
      <c r="C300" s="22"/>
      <c r="D300" s="30"/>
    </row>
    <row r="301">
      <c r="B301" s="22"/>
      <c r="C301" s="22"/>
      <c r="D301" s="30"/>
    </row>
    <row r="302">
      <c r="B302" s="22"/>
      <c r="C302" s="22"/>
      <c r="D302" s="30"/>
    </row>
    <row r="303">
      <c r="B303" s="22"/>
      <c r="C303" s="22"/>
      <c r="D303" s="30"/>
    </row>
    <row r="304">
      <c r="B304" s="22"/>
      <c r="C304" s="22"/>
      <c r="D304" s="30"/>
    </row>
    <row r="305">
      <c r="B305" s="22"/>
      <c r="C305" s="22"/>
      <c r="D305" s="30"/>
    </row>
    <row r="306">
      <c r="B306" s="22"/>
      <c r="C306" s="22"/>
      <c r="D306" s="30"/>
    </row>
    <row r="307">
      <c r="B307" s="22"/>
      <c r="C307" s="22"/>
      <c r="D307" s="30"/>
    </row>
    <row r="308">
      <c r="B308" s="22"/>
      <c r="C308" s="22"/>
      <c r="D308" s="30"/>
    </row>
    <row r="309">
      <c r="B309" s="22"/>
      <c r="C309" s="22"/>
      <c r="D309" s="30"/>
    </row>
    <row r="310">
      <c r="B310" s="22"/>
      <c r="C310" s="22"/>
      <c r="D310" s="30"/>
    </row>
    <row r="311">
      <c r="B311" s="22"/>
      <c r="C311" s="22"/>
      <c r="D311" s="30"/>
    </row>
    <row r="312">
      <c r="B312" s="22"/>
      <c r="C312" s="22"/>
      <c r="D312" s="30"/>
    </row>
    <row r="313">
      <c r="B313" s="22"/>
      <c r="C313" s="22"/>
      <c r="D313" s="30"/>
    </row>
    <row r="314">
      <c r="B314" s="22"/>
      <c r="C314" s="22"/>
      <c r="D314" s="30"/>
    </row>
    <row r="315">
      <c r="B315" s="22"/>
      <c r="C315" s="22"/>
      <c r="D315" s="30"/>
    </row>
    <row r="316">
      <c r="B316" s="22"/>
      <c r="C316" s="22"/>
      <c r="D316" s="30"/>
    </row>
    <row r="317">
      <c r="B317" s="22"/>
      <c r="C317" s="22"/>
      <c r="D317" s="30"/>
    </row>
    <row r="318">
      <c r="B318" s="22"/>
      <c r="C318" s="22"/>
      <c r="D318" s="30"/>
    </row>
    <row r="319">
      <c r="B319" s="22"/>
      <c r="C319" s="22"/>
      <c r="D319" s="30"/>
    </row>
    <row r="320">
      <c r="B320" s="22"/>
      <c r="C320" s="22"/>
      <c r="D320" s="30"/>
    </row>
    <row r="321">
      <c r="B321" s="22"/>
      <c r="C321" s="22"/>
      <c r="D321" s="30"/>
    </row>
    <row r="322">
      <c r="B322" s="22"/>
      <c r="C322" s="22"/>
      <c r="D322" s="30"/>
    </row>
    <row r="323">
      <c r="B323" s="22"/>
      <c r="C323" s="22"/>
      <c r="D323" s="30"/>
    </row>
    <row r="324">
      <c r="B324" s="22"/>
      <c r="C324" s="22"/>
      <c r="D324" s="30"/>
    </row>
    <row r="325">
      <c r="B325" s="22"/>
      <c r="C325" s="22"/>
      <c r="D325" s="30"/>
    </row>
    <row r="326">
      <c r="B326" s="22"/>
      <c r="C326" s="22"/>
      <c r="D326" s="30"/>
    </row>
    <row r="327">
      <c r="B327" s="22"/>
      <c r="C327" s="22"/>
      <c r="D327" s="30"/>
    </row>
    <row r="328">
      <c r="B328" s="22"/>
      <c r="C328" s="22"/>
      <c r="D328" s="30"/>
    </row>
    <row r="329">
      <c r="B329" s="22"/>
      <c r="C329" s="22"/>
      <c r="D329" s="30"/>
    </row>
    <row r="330">
      <c r="B330" s="22"/>
      <c r="C330" s="22"/>
      <c r="D330" s="30"/>
    </row>
    <row r="331">
      <c r="B331" s="22"/>
      <c r="C331" s="22"/>
      <c r="D331" s="30"/>
    </row>
    <row r="332">
      <c r="B332" s="22"/>
      <c r="C332" s="22"/>
      <c r="D332" s="30"/>
    </row>
    <row r="333">
      <c r="B333" s="22"/>
      <c r="C333" s="22"/>
      <c r="D333" s="30"/>
    </row>
    <row r="334">
      <c r="B334" s="22"/>
      <c r="C334" s="22"/>
      <c r="D334" s="30"/>
    </row>
    <row r="335">
      <c r="B335" s="22"/>
      <c r="C335" s="22"/>
      <c r="D335" s="30"/>
    </row>
    <row r="336">
      <c r="B336" s="22"/>
      <c r="C336" s="22"/>
      <c r="D336" s="30"/>
    </row>
    <row r="337">
      <c r="B337" s="22"/>
      <c r="C337" s="22"/>
      <c r="D337" s="30"/>
    </row>
    <row r="338">
      <c r="B338" s="22"/>
      <c r="C338" s="22"/>
      <c r="D338" s="30"/>
    </row>
    <row r="339">
      <c r="B339" s="22"/>
      <c r="C339" s="22"/>
      <c r="D339" s="30"/>
    </row>
    <row r="340">
      <c r="B340" s="22"/>
      <c r="C340" s="22"/>
      <c r="D340" s="30"/>
    </row>
    <row r="341">
      <c r="B341" s="22"/>
      <c r="C341" s="22"/>
      <c r="D341" s="30"/>
    </row>
    <row r="342">
      <c r="B342" s="22"/>
      <c r="C342" s="22"/>
      <c r="D342" s="30"/>
    </row>
    <row r="343">
      <c r="B343" s="22"/>
      <c r="C343" s="22"/>
      <c r="D343" s="30"/>
    </row>
    <row r="344">
      <c r="B344" s="22"/>
      <c r="C344" s="22"/>
      <c r="D344" s="30"/>
    </row>
    <row r="345">
      <c r="B345" s="22"/>
      <c r="C345" s="22"/>
      <c r="D345" s="30"/>
    </row>
    <row r="346">
      <c r="B346" s="22"/>
      <c r="C346" s="22"/>
      <c r="D346" s="30"/>
    </row>
    <row r="347">
      <c r="B347" s="22"/>
      <c r="C347" s="22"/>
      <c r="D347" s="30"/>
    </row>
    <row r="348">
      <c r="B348" s="22"/>
      <c r="C348" s="22"/>
      <c r="D348" s="30"/>
    </row>
    <row r="349">
      <c r="B349" s="22"/>
      <c r="C349" s="22"/>
      <c r="D349" s="30"/>
    </row>
    <row r="350">
      <c r="B350" s="22"/>
      <c r="C350" s="22"/>
      <c r="D350" s="30"/>
    </row>
    <row r="351">
      <c r="B351" s="22"/>
      <c r="C351" s="22"/>
      <c r="D351" s="30"/>
    </row>
    <row r="352">
      <c r="B352" s="22"/>
      <c r="C352" s="22"/>
      <c r="D352" s="30"/>
    </row>
    <row r="353">
      <c r="B353" s="22"/>
      <c r="C353" s="22"/>
      <c r="D353" s="30"/>
    </row>
    <row r="354">
      <c r="B354" s="22"/>
      <c r="C354" s="22"/>
      <c r="D354" s="30"/>
    </row>
    <row r="355">
      <c r="B355" s="22"/>
      <c r="C355" s="22"/>
      <c r="D355" s="30"/>
    </row>
    <row r="356">
      <c r="B356" s="22"/>
      <c r="C356" s="22"/>
      <c r="D356" s="30"/>
    </row>
    <row r="357">
      <c r="B357" s="22"/>
      <c r="C357" s="22"/>
      <c r="D357" s="30"/>
    </row>
    <row r="358">
      <c r="B358" s="22"/>
      <c r="C358" s="22"/>
      <c r="D358" s="30"/>
    </row>
    <row r="359">
      <c r="B359" s="22"/>
      <c r="C359" s="22"/>
      <c r="D359" s="30"/>
    </row>
    <row r="360">
      <c r="B360" s="22"/>
      <c r="C360" s="22"/>
      <c r="D360" s="30"/>
    </row>
    <row r="361">
      <c r="B361" s="22"/>
      <c r="C361" s="22"/>
      <c r="D361" s="30"/>
    </row>
    <row r="362">
      <c r="B362" s="22"/>
      <c r="C362" s="22"/>
      <c r="D362" s="30"/>
    </row>
    <row r="363">
      <c r="B363" s="22"/>
      <c r="C363" s="22"/>
      <c r="D363" s="30"/>
    </row>
    <row r="364">
      <c r="B364" s="22"/>
      <c r="C364" s="22"/>
      <c r="D364" s="30"/>
    </row>
    <row r="365">
      <c r="B365" s="22"/>
      <c r="C365" s="22"/>
      <c r="D365" s="30"/>
    </row>
    <row r="366">
      <c r="B366" s="22"/>
      <c r="C366" s="22"/>
      <c r="D366" s="30"/>
    </row>
    <row r="367">
      <c r="B367" s="22"/>
      <c r="C367" s="22"/>
      <c r="D367" s="30"/>
    </row>
    <row r="368">
      <c r="B368" s="22"/>
      <c r="C368" s="22"/>
      <c r="D368" s="30"/>
    </row>
    <row r="369">
      <c r="B369" s="22"/>
      <c r="C369" s="22"/>
      <c r="D369" s="30"/>
    </row>
    <row r="370">
      <c r="B370" s="22"/>
      <c r="C370" s="22"/>
      <c r="D370" s="30"/>
    </row>
    <row r="371">
      <c r="B371" s="22"/>
      <c r="C371" s="22"/>
      <c r="D371" s="30"/>
    </row>
    <row r="372">
      <c r="B372" s="22"/>
      <c r="C372" s="22"/>
      <c r="D372" s="30"/>
    </row>
    <row r="373">
      <c r="B373" s="22"/>
      <c r="C373" s="22"/>
      <c r="D373" s="30"/>
    </row>
    <row r="374">
      <c r="B374" s="22"/>
      <c r="C374" s="22"/>
      <c r="D374" s="30"/>
    </row>
    <row r="375">
      <c r="B375" s="22"/>
      <c r="C375" s="22"/>
      <c r="D375" s="30"/>
    </row>
    <row r="376">
      <c r="B376" s="22"/>
      <c r="C376" s="22"/>
      <c r="D376" s="30"/>
    </row>
    <row r="377">
      <c r="B377" s="22"/>
      <c r="C377" s="22"/>
      <c r="D377" s="30"/>
    </row>
    <row r="378">
      <c r="B378" s="22"/>
      <c r="C378" s="22"/>
      <c r="D378" s="30"/>
    </row>
    <row r="379">
      <c r="B379" s="22"/>
      <c r="C379" s="22"/>
      <c r="D379" s="30"/>
    </row>
    <row r="380">
      <c r="B380" s="22"/>
      <c r="C380" s="22"/>
      <c r="D380" s="30"/>
    </row>
    <row r="381">
      <c r="B381" s="22"/>
      <c r="C381" s="22"/>
      <c r="D381" s="30"/>
    </row>
    <row r="382">
      <c r="B382" s="22"/>
      <c r="C382" s="22"/>
      <c r="D382" s="30"/>
    </row>
    <row r="383">
      <c r="B383" s="22"/>
      <c r="C383" s="22"/>
      <c r="D383" s="30"/>
    </row>
    <row r="384">
      <c r="B384" s="22"/>
      <c r="C384" s="22"/>
      <c r="D384" s="30"/>
    </row>
    <row r="385">
      <c r="B385" s="22"/>
      <c r="C385" s="22"/>
      <c r="D385" s="30"/>
    </row>
    <row r="386">
      <c r="B386" s="22"/>
      <c r="C386" s="22"/>
      <c r="D386" s="30"/>
    </row>
    <row r="387">
      <c r="B387" s="22"/>
      <c r="C387" s="22"/>
      <c r="D387" s="30"/>
    </row>
    <row r="388">
      <c r="B388" s="22"/>
      <c r="C388" s="22"/>
      <c r="D388" s="30"/>
    </row>
    <row r="389">
      <c r="B389" s="22"/>
      <c r="C389" s="22"/>
      <c r="D389" s="30"/>
    </row>
    <row r="390">
      <c r="B390" s="22"/>
      <c r="C390" s="22"/>
      <c r="D390" s="30"/>
    </row>
    <row r="391">
      <c r="B391" s="22"/>
      <c r="C391" s="22"/>
      <c r="D391" s="30"/>
    </row>
    <row r="392">
      <c r="B392" s="22"/>
      <c r="C392" s="22"/>
      <c r="D392" s="30"/>
    </row>
    <row r="393">
      <c r="B393" s="22"/>
      <c r="C393" s="22"/>
      <c r="D393" s="30"/>
    </row>
    <row r="394">
      <c r="B394" s="22"/>
      <c r="C394" s="22"/>
      <c r="D394" s="30"/>
    </row>
    <row r="395">
      <c r="B395" s="22"/>
      <c r="C395" s="22"/>
      <c r="D395" s="30"/>
    </row>
    <row r="396">
      <c r="B396" s="22"/>
      <c r="C396" s="22"/>
      <c r="D396" s="30"/>
    </row>
    <row r="397">
      <c r="B397" s="22"/>
      <c r="C397" s="22"/>
      <c r="D397" s="30"/>
    </row>
    <row r="398">
      <c r="B398" s="22"/>
      <c r="C398" s="22"/>
      <c r="D398" s="30"/>
    </row>
    <row r="399">
      <c r="B399" s="22"/>
      <c r="C399" s="22"/>
      <c r="D399" s="30"/>
    </row>
    <row r="400">
      <c r="B400" s="22"/>
      <c r="C400" s="22"/>
      <c r="D400" s="30"/>
    </row>
    <row r="401">
      <c r="B401" s="22"/>
      <c r="C401" s="22"/>
      <c r="D401" s="30"/>
    </row>
    <row r="402">
      <c r="B402" s="22"/>
      <c r="C402" s="22"/>
      <c r="D402" s="30"/>
    </row>
    <row r="403">
      <c r="B403" s="22"/>
      <c r="C403" s="22"/>
      <c r="D403" s="30"/>
    </row>
    <row r="404">
      <c r="B404" s="22"/>
      <c r="C404" s="22"/>
      <c r="D404" s="30"/>
    </row>
    <row r="405">
      <c r="B405" s="22"/>
      <c r="C405" s="22"/>
      <c r="D405" s="30"/>
    </row>
    <row r="406">
      <c r="B406" s="22"/>
      <c r="C406" s="22"/>
      <c r="D406" s="30"/>
    </row>
    <row r="407">
      <c r="B407" s="22"/>
      <c r="C407" s="22"/>
      <c r="D407" s="30"/>
    </row>
    <row r="408">
      <c r="B408" s="22"/>
      <c r="C408" s="22"/>
      <c r="D408" s="30"/>
    </row>
    <row r="409">
      <c r="B409" s="22"/>
      <c r="C409" s="22"/>
      <c r="D409" s="30"/>
    </row>
    <row r="410">
      <c r="B410" s="22"/>
      <c r="C410" s="22"/>
      <c r="D410" s="30"/>
    </row>
    <row r="411">
      <c r="B411" s="22"/>
      <c r="C411" s="22"/>
      <c r="D411" s="30"/>
    </row>
    <row r="412">
      <c r="B412" s="22"/>
      <c r="C412" s="22"/>
      <c r="D412" s="30"/>
    </row>
    <row r="413">
      <c r="B413" s="22"/>
      <c r="C413" s="22"/>
      <c r="D413" s="30"/>
    </row>
    <row r="414">
      <c r="B414" s="22"/>
      <c r="C414" s="22"/>
      <c r="D414" s="30"/>
    </row>
    <row r="415">
      <c r="B415" s="22"/>
      <c r="C415" s="22"/>
      <c r="D415" s="30"/>
    </row>
    <row r="416">
      <c r="B416" s="22"/>
      <c r="C416" s="22"/>
      <c r="D416" s="30"/>
    </row>
    <row r="417">
      <c r="B417" s="22"/>
      <c r="C417" s="22"/>
      <c r="D417" s="30"/>
    </row>
    <row r="418">
      <c r="B418" s="22"/>
      <c r="C418" s="22"/>
      <c r="D418" s="30"/>
    </row>
    <row r="419">
      <c r="B419" s="22"/>
      <c r="C419" s="22"/>
      <c r="D419" s="30"/>
    </row>
    <row r="420">
      <c r="B420" s="22"/>
      <c r="C420" s="22"/>
      <c r="D420" s="30"/>
    </row>
    <row r="421">
      <c r="B421" s="22"/>
      <c r="C421" s="22"/>
      <c r="D421" s="30"/>
    </row>
    <row r="422">
      <c r="B422" s="22"/>
      <c r="C422" s="22"/>
      <c r="D422" s="30"/>
    </row>
    <row r="423">
      <c r="B423" s="22"/>
      <c r="C423" s="22"/>
      <c r="D423" s="30"/>
    </row>
    <row r="424">
      <c r="B424" s="22"/>
      <c r="C424" s="22"/>
      <c r="D424" s="30"/>
    </row>
    <row r="425">
      <c r="B425" s="22"/>
      <c r="C425" s="22"/>
      <c r="D425" s="30"/>
    </row>
    <row r="426">
      <c r="B426" s="22"/>
      <c r="C426" s="22"/>
      <c r="D426" s="30"/>
    </row>
    <row r="427">
      <c r="B427" s="22"/>
      <c r="C427" s="22"/>
      <c r="D427" s="30"/>
    </row>
    <row r="428">
      <c r="B428" s="22"/>
      <c r="C428" s="22"/>
      <c r="D428" s="30"/>
    </row>
    <row r="429">
      <c r="B429" s="22"/>
      <c r="C429" s="22"/>
      <c r="D429" s="30"/>
    </row>
    <row r="430">
      <c r="B430" s="22"/>
      <c r="C430" s="22"/>
      <c r="D430" s="30"/>
    </row>
    <row r="431">
      <c r="B431" s="22"/>
      <c r="C431" s="22"/>
      <c r="D431" s="30"/>
    </row>
    <row r="432">
      <c r="B432" s="22"/>
      <c r="C432" s="22"/>
      <c r="D432" s="30"/>
    </row>
    <row r="433">
      <c r="B433" s="22"/>
      <c r="C433" s="22"/>
      <c r="D433" s="30"/>
    </row>
    <row r="434">
      <c r="B434" s="22"/>
      <c r="C434" s="22"/>
      <c r="D434" s="30"/>
    </row>
    <row r="435">
      <c r="B435" s="22"/>
      <c r="C435" s="22"/>
      <c r="D435" s="30"/>
    </row>
    <row r="436">
      <c r="B436" s="22"/>
      <c r="C436" s="22"/>
      <c r="D436" s="30"/>
    </row>
    <row r="437">
      <c r="B437" s="22"/>
      <c r="C437" s="22"/>
      <c r="D437" s="30"/>
    </row>
    <row r="438">
      <c r="B438" s="22"/>
      <c r="C438" s="22"/>
      <c r="D438" s="30"/>
    </row>
    <row r="439">
      <c r="B439" s="22"/>
      <c r="C439" s="22"/>
      <c r="D439" s="30"/>
    </row>
    <row r="440">
      <c r="B440" s="22"/>
      <c r="C440" s="22"/>
      <c r="D440" s="30"/>
    </row>
    <row r="441">
      <c r="B441" s="22"/>
      <c r="C441" s="22"/>
      <c r="D441" s="30"/>
    </row>
    <row r="442">
      <c r="B442" s="22"/>
      <c r="C442" s="22"/>
      <c r="D442" s="30"/>
    </row>
    <row r="443">
      <c r="B443" s="22"/>
      <c r="C443" s="22"/>
      <c r="D443" s="30"/>
    </row>
    <row r="444">
      <c r="B444" s="22"/>
      <c r="C444" s="22"/>
      <c r="D444" s="30"/>
    </row>
    <row r="445">
      <c r="B445" s="22"/>
      <c r="C445" s="22"/>
      <c r="D445" s="30"/>
    </row>
    <row r="446">
      <c r="B446" s="22"/>
      <c r="C446" s="22"/>
      <c r="D446" s="30"/>
    </row>
    <row r="447">
      <c r="B447" s="22"/>
      <c r="C447" s="22"/>
      <c r="D447" s="30"/>
    </row>
    <row r="448">
      <c r="B448" s="22"/>
      <c r="C448" s="22"/>
      <c r="D448" s="30"/>
    </row>
    <row r="449">
      <c r="B449" s="22"/>
      <c r="C449" s="22"/>
      <c r="D449" s="30"/>
    </row>
    <row r="450">
      <c r="B450" s="22"/>
      <c r="C450" s="22"/>
      <c r="D450" s="30"/>
    </row>
    <row r="451">
      <c r="B451" s="22"/>
      <c r="C451" s="22"/>
      <c r="D451" s="30"/>
    </row>
    <row r="452">
      <c r="B452" s="22"/>
      <c r="C452" s="22"/>
      <c r="D452" s="30"/>
    </row>
    <row r="453">
      <c r="B453" s="22"/>
      <c r="C453" s="22"/>
      <c r="D453" s="30"/>
    </row>
    <row r="454">
      <c r="B454" s="22"/>
      <c r="C454" s="22"/>
      <c r="D454" s="30"/>
    </row>
    <row r="455">
      <c r="B455" s="22"/>
      <c r="C455" s="22"/>
      <c r="D455" s="30"/>
    </row>
    <row r="456">
      <c r="B456" s="22"/>
      <c r="C456" s="22"/>
      <c r="D456" s="30"/>
    </row>
    <row r="457">
      <c r="B457" s="22"/>
      <c r="C457" s="22"/>
      <c r="D457" s="30"/>
    </row>
    <row r="458">
      <c r="B458" s="22"/>
      <c r="C458" s="22"/>
      <c r="D458" s="30"/>
    </row>
    <row r="459">
      <c r="B459" s="22"/>
      <c r="C459" s="22"/>
      <c r="D459" s="30"/>
    </row>
    <row r="460">
      <c r="B460" s="22"/>
      <c r="C460" s="22"/>
      <c r="D460" s="30"/>
    </row>
    <row r="461">
      <c r="B461" s="22"/>
      <c r="C461" s="22"/>
      <c r="D461" s="30"/>
    </row>
    <row r="462">
      <c r="B462" s="22"/>
      <c r="C462" s="22"/>
      <c r="D462" s="30"/>
    </row>
    <row r="463">
      <c r="B463" s="22"/>
      <c r="C463" s="22"/>
      <c r="D463" s="30"/>
    </row>
    <row r="464">
      <c r="B464" s="22"/>
      <c r="C464" s="22"/>
      <c r="D464" s="30"/>
    </row>
    <row r="465">
      <c r="B465" s="22"/>
      <c r="C465" s="22"/>
      <c r="D465" s="30"/>
    </row>
    <row r="466">
      <c r="B466" s="22"/>
      <c r="C466" s="22"/>
      <c r="D466" s="30"/>
    </row>
    <row r="467">
      <c r="B467" s="22"/>
      <c r="C467" s="22"/>
      <c r="D467" s="30"/>
    </row>
    <row r="468">
      <c r="B468" s="22"/>
      <c r="C468" s="22"/>
      <c r="D468" s="30"/>
    </row>
    <row r="469">
      <c r="B469" s="22"/>
      <c r="C469" s="22"/>
      <c r="D469" s="30"/>
    </row>
    <row r="470">
      <c r="B470" s="22"/>
      <c r="C470" s="22"/>
      <c r="D470" s="30"/>
    </row>
    <row r="471">
      <c r="B471" s="22"/>
      <c r="C471" s="22"/>
      <c r="D471" s="30"/>
    </row>
    <row r="472">
      <c r="B472" s="22"/>
      <c r="C472" s="22"/>
      <c r="D472" s="30"/>
    </row>
    <row r="473">
      <c r="B473" s="22"/>
      <c r="C473" s="22"/>
      <c r="D473" s="30"/>
    </row>
    <row r="474">
      <c r="B474" s="22"/>
      <c r="C474" s="22"/>
      <c r="D474" s="30"/>
    </row>
    <row r="475">
      <c r="B475" s="22"/>
      <c r="C475" s="22"/>
      <c r="D475" s="30"/>
    </row>
    <row r="476">
      <c r="B476" s="22"/>
      <c r="C476" s="22"/>
      <c r="D476" s="30"/>
    </row>
    <row r="477">
      <c r="B477" s="22"/>
      <c r="C477" s="22"/>
      <c r="D477" s="30"/>
    </row>
    <row r="478">
      <c r="B478" s="22"/>
      <c r="C478" s="22"/>
      <c r="D478" s="30"/>
    </row>
    <row r="479">
      <c r="B479" s="22"/>
      <c r="C479" s="22"/>
      <c r="D479" s="30"/>
    </row>
    <row r="480">
      <c r="B480" s="22"/>
      <c r="C480" s="22"/>
      <c r="D480" s="30"/>
    </row>
    <row r="481">
      <c r="B481" s="22"/>
      <c r="C481" s="22"/>
      <c r="D481" s="30"/>
    </row>
    <row r="482">
      <c r="B482" s="22"/>
      <c r="C482" s="22"/>
      <c r="D482" s="30"/>
    </row>
    <row r="483">
      <c r="B483" s="22"/>
      <c r="C483" s="22"/>
      <c r="D483" s="30"/>
    </row>
    <row r="484">
      <c r="B484" s="22"/>
      <c r="C484" s="22"/>
      <c r="D484" s="30"/>
    </row>
    <row r="485">
      <c r="B485" s="22"/>
      <c r="C485" s="22"/>
      <c r="D485" s="30"/>
    </row>
    <row r="486">
      <c r="B486" s="22"/>
      <c r="C486" s="22"/>
      <c r="D486" s="30"/>
    </row>
    <row r="487">
      <c r="B487" s="22"/>
      <c r="C487" s="22"/>
      <c r="D487" s="30"/>
    </row>
    <row r="488">
      <c r="B488" s="22"/>
      <c r="C488" s="22"/>
      <c r="D488" s="30"/>
    </row>
    <row r="489">
      <c r="B489" s="22"/>
      <c r="C489" s="22"/>
      <c r="D489" s="30"/>
    </row>
    <row r="490">
      <c r="B490" s="22"/>
      <c r="C490" s="22"/>
      <c r="D490" s="30"/>
    </row>
    <row r="491">
      <c r="B491" s="22"/>
      <c r="C491" s="22"/>
      <c r="D491" s="30"/>
    </row>
    <row r="492">
      <c r="B492" s="22"/>
      <c r="C492" s="22"/>
      <c r="D492" s="30"/>
    </row>
    <row r="493">
      <c r="B493" s="22"/>
      <c r="C493" s="22"/>
      <c r="D493" s="30"/>
    </row>
    <row r="494">
      <c r="B494" s="22"/>
      <c r="C494" s="22"/>
      <c r="D494" s="30"/>
    </row>
    <row r="495">
      <c r="B495" s="22"/>
      <c r="C495" s="22"/>
      <c r="D495" s="30"/>
    </row>
    <row r="496">
      <c r="B496" s="22"/>
      <c r="C496" s="22"/>
      <c r="D496" s="30"/>
    </row>
    <row r="497">
      <c r="B497" s="22"/>
      <c r="C497" s="22"/>
      <c r="D497" s="30"/>
    </row>
    <row r="498">
      <c r="B498" s="22"/>
      <c r="C498" s="22"/>
      <c r="D498" s="30"/>
    </row>
    <row r="499">
      <c r="B499" s="22"/>
      <c r="C499" s="22"/>
      <c r="D499" s="30"/>
    </row>
    <row r="500">
      <c r="B500" s="22"/>
      <c r="C500" s="22"/>
      <c r="D500" s="30"/>
    </row>
    <row r="501">
      <c r="B501" s="22"/>
      <c r="C501" s="22"/>
      <c r="D501" s="30"/>
    </row>
    <row r="502">
      <c r="B502" s="22"/>
      <c r="C502" s="22"/>
      <c r="D502" s="30"/>
    </row>
    <row r="503">
      <c r="B503" s="22"/>
      <c r="C503" s="22"/>
      <c r="D503" s="30"/>
    </row>
    <row r="504">
      <c r="B504" s="22"/>
      <c r="C504" s="22"/>
      <c r="D504" s="30"/>
    </row>
    <row r="505">
      <c r="B505" s="22"/>
      <c r="C505" s="22"/>
      <c r="D505" s="30"/>
    </row>
    <row r="506">
      <c r="B506" s="22"/>
      <c r="C506" s="22"/>
      <c r="D506" s="30"/>
    </row>
    <row r="507">
      <c r="B507" s="22"/>
      <c r="C507" s="22"/>
      <c r="D507" s="30"/>
    </row>
    <row r="508">
      <c r="B508" s="22"/>
      <c r="C508" s="22"/>
      <c r="D508" s="30"/>
    </row>
    <row r="509">
      <c r="B509" s="22"/>
      <c r="C509" s="22"/>
      <c r="D509" s="30"/>
    </row>
    <row r="510">
      <c r="B510" s="22"/>
      <c r="C510" s="22"/>
      <c r="D510" s="30"/>
    </row>
    <row r="511">
      <c r="B511" s="22"/>
      <c r="C511" s="22"/>
      <c r="D511" s="30"/>
    </row>
    <row r="512">
      <c r="B512" s="22"/>
      <c r="C512" s="22"/>
      <c r="D512" s="30"/>
    </row>
    <row r="513">
      <c r="B513" s="22"/>
      <c r="C513" s="22"/>
      <c r="D513" s="30"/>
    </row>
    <row r="514">
      <c r="B514" s="22"/>
      <c r="C514" s="22"/>
      <c r="D514" s="30"/>
    </row>
    <row r="515">
      <c r="B515" s="22"/>
      <c r="C515" s="22"/>
      <c r="D515" s="30"/>
    </row>
    <row r="516">
      <c r="B516" s="22"/>
      <c r="C516" s="22"/>
      <c r="D516" s="30"/>
    </row>
    <row r="517">
      <c r="B517" s="22"/>
      <c r="C517" s="22"/>
      <c r="D517" s="30"/>
    </row>
    <row r="518">
      <c r="B518" s="22"/>
      <c r="C518" s="22"/>
      <c r="D518" s="30"/>
    </row>
    <row r="519">
      <c r="B519" s="22"/>
      <c r="C519" s="22"/>
      <c r="D519" s="30"/>
    </row>
    <row r="520">
      <c r="B520" s="22"/>
      <c r="C520" s="22"/>
      <c r="D520" s="30"/>
    </row>
    <row r="521">
      <c r="B521" s="22"/>
      <c r="C521" s="22"/>
      <c r="D521" s="30"/>
    </row>
    <row r="522">
      <c r="B522" s="22"/>
      <c r="C522" s="22"/>
      <c r="D522" s="30"/>
    </row>
    <row r="523">
      <c r="B523" s="22"/>
      <c r="C523" s="22"/>
      <c r="D523" s="30"/>
    </row>
    <row r="524">
      <c r="B524" s="22"/>
      <c r="C524" s="22"/>
      <c r="D524" s="30"/>
    </row>
    <row r="525">
      <c r="B525" s="22"/>
      <c r="C525" s="22"/>
      <c r="D525" s="30"/>
    </row>
    <row r="526">
      <c r="B526" s="22"/>
      <c r="C526" s="22"/>
      <c r="D526" s="30"/>
    </row>
    <row r="527">
      <c r="B527" s="22"/>
      <c r="C527" s="22"/>
      <c r="D527" s="30"/>
    </row>
    <row r="528">
      <c r="B528" s="22"/>
      <c r="C528" s="22"/>
      <c r="D528" s="30"/>
    </row>
    <row r="529">
      <c r="B529" s="22"/>
      <c r="C529" s="22"/>
      <c r="D529" s="30"/>
    </row>
    <row r="530">
      <c r="B530" s="22"/>
      <c r="C530" s="22"/>
      <c r="D530" s="30"/>
    </row>
    <row r="531">
      <c r="B531" s="22"/>
      <c r="C531" s="22"/>
      <c r="D531" s="30"/>
    </row>
    <row r="532">
      <c r="B532" s="22"/>
      <c r="C532" s="22"/>
      <c r="D532" s="30"/>
    </row>
    <row r="533">
      <c r="B533" s="22"/>
      <c r="C533" s="22"/>
      <c r="D533" s="30"/>
    </row>
    <row r="534">
      <c r="B534" s="22"/>
      <c r="C534" s="22"/>
      <c r="D534" s="30"/>
    </row>
    <row r="535">
      <c r="B535" s="22"/>
      <c r="C535" s="22"/>
      <c r="D535" s="30"/>
    </row>
    <row r="536">
      <c r="B536" s="22"/>
      <c r="C536" s="22"/>
      <c r="D536" s="30"/>
    </row>
    <row r="537">
      <c r="B537" s="22"/>
      <c r="C537" s="22"/>
      <c r="D537" s="30"/>
    </row>
    <row r="538">
      <c r="B538" s="22"/>
      <c r="C538" s="22"/>
      <c r="D538" s="30"/>
    </row>
    <row r="539">
      <c r="B539" s="22"/>
      <c r="C539" s="22"/>
      <c r="D539" s="30"/>
    </row>
    <row r="540">
      <c r="B540" s="22"/>
      <c r="C540" s="22"/>
      <c r="D540" s="30"/>
    </row>
    <row r="541">
      <c r="B541" s="22"/>
      <c r="C541" s="22"/>
      <c r="D541" s="30"/>
    </row>
    <row r="542">
      <c r="B542" s="22"/>
      <c r="C542" s="22"/>
      <c r="D542" s="30"/>
    </row>
    <row r="543">
      <c r="B543" s="22"/>
      <c r="C543" s="22"/>
      <c r="D543" s="30"/>
    </row>
    <row r="544">
      <c r="B544" s="22"/>
      <c r="C544" s="22"/>
      <c r="D544" s="30"/>
    </row>
    <row r="545">
      <c r="B545" s="22"/>
      <c r="C545" s="22"/>
      <c r="D545" s="30"/>
    </row>
    <row r="546">
      <c r="B546" s="22"/>
      <c r="C546" s="22"/>
      <c r="D546" s="30"/>
    </row>
    <row r="547">
      <c r="B547" s="22"/>
      <c r="C547" s="22"/>
      <c r="D547" s="30"/>
    </row>
    <row r="548">
      <c r="B548" s="22"/>
      <c r="C548" s="22"/>
      <c r="D548" s="30"/>
    </row>
    <row r="549">
      <c r="B549" s="22"/>
      <c r="C549" s="22"/>
      <c r="D549" s="30"/>
    </row>
    <row r="550">
      <c r="B550" s="22"/>
      <c r="C550" s="22"/>
      <c r="D550" s="30"/>
    </row>
    <row r="551">
      <c r="B551" s="22"/>
      <c r="C551" s="22"/>
      <c r="D551" s="30"/>
    </row>
    <row r="552">
      <c r="B552" s="22"/>
      <c r="C552" s="22"/>
      <c r="D552" s="30"/>
    </row>
    <row r="553">
      <c r="B553" s="22"/>
      <c r="C553" s="22"/>
      <c r="D553" s="30"/>
    </row>
    <row r="554">
      <c r="B554" s="22"/>
      <c r="C554" s="22"/>
      <c r="D554" s="30"/>
    </row>
    <row r="555">
      <c r="B555" s="22"/>
      <c r="C555" s="22"/>
      <c r="D555" s="30"/>
    </row>
    <row r="556">
      <c r="B556" s="22"/>
      <c r="C556" s="22"/>
      <c r="D556" s="30"/>
    </row>
    <row r="557">
      <c r="B557" s="22"/>
      <c r="C557" s="22"/>
      <c r="D557" s="30"/>
    </row>
    <row r="558">
      <c r="B558" s="22"/>
      <c r="C558" s="22"/>
      <c r="D558" s="30"/>
    </row>
    <row r="559">
      <c r="B559" s="22"/>
      <c r="C559" s="22"/>
      <c r="D559" s="30"/>
    </row>
    <row r="560">
      <c r="B560" s="22"/>
      <c r="C560" s="22"/>
      <c r="D560" s="30"/>
    </row>
    <row r="561">
      <c r="B561" s="22"/>
      <c r="C561" s="22"/>
      <c r="D561" s="30"/>
    </row>
    <row r="562">
      <c r="B562" s="22"/>
      <c r="C562" s="22"/>
      <c r="D562" s="30"/>
    </row>
    <row r="563">
      <c r="B563" s="22"/>
      <c r="C563" s="22"/>
      <c r="D563" s="30"/>
    </row>
    <row r="564">
      <c r="B564" s="22"/>
      <c r="C564" s="22"/>
      <c r="D564" s="30"/>
    </row>
    <row r="565">
      <c r="B565" s="22"/>
      <c r="C565" s="22"/>
      <c r="D565" s="30"/>
    </row>
    <row r="566">
      <c r="B566" s="22"/>
      <c r="C566" s="22"/>
      <c r="D566" s="30"/>
    </row>
    <row r="567">
      <c r="B567" s="22"/>
      <c r="C567" s="22"/>
      <c r="D567" s="30"/>
    </row>
    <row r="568">
      <c r="B568" s="22"/>
      <c r="C568" s="22"/>
      <c r="D568" s="30"/>
    </row>
    <row r="569">
      <c r="B569" s="22"/>
      <c r="C569" s="22"/>
      <c r="D569" s="30"/>
    </row>
    <row r="570">
      <c r="B570" s="22"/>
      <c r="C570" s="22"/>
      <c r="D570" s="30"/>
    </row>
    <row r="571">
      <c r="B571" s="22"/>
      <c r="C571" s="22"/>
      <c r="D571" s="30"/>
    </row>
    <row r="572">
      <c r="B572" s="22"/>
      <c r="C572" s="22"/>
      <c r="D572" s="30"/>
    </row>
    <row r="573">
      <c r="B573" s="22"/>
      <c r="C573" s="22"/>
      <c r="D573" s="30"/>
    </row>
    <row r="574">
      <c r="B574" s="22"/>
      <c r="C574" s="22"/>
      <c r="D574" s="30"/>
    </row>
    <row r="575">
      <c r="B575" s="22"/>
      <c r="C575" s="22"/>
      <c r="D575" s="30"/>
    </row>
    <row r="576">
      <c r="B576" s="22"/>
      <c r="C576" s="22"/>
      <c r="D576" s="30"/>
    </row>
    <row r="577">
      <c r="B577" s="22"/>
      <c r="C577" s="22"/>
      <c r="D577" s="30"/>
    </row>
    <row r="578">
      <c r="B578" s="22"/>
      <c r="C578" s="22"/>
      <c r="D578" s="30"/>
    </row>
    <row r="579">
      <c r="B579" s="22"/>
      <c r="C579" s="22"/>
      <c r="D579" s="30"/>
    </row>
    <row r="580">
      <c r="B580" s="22"/>
      <c r="C580" s="22"/>
      <c r="D580" s="30"/>
    </row>
    <row r="581">
      <c r="B581" s="22"/>
      <c r="C581" s="22"/>
      <c r="D581" s="30"/>
    </row>
    <row r="582">
      <c r="B582" s="22"/>
      <c r="C582" s="22"/>
      <c r="D582" s="30"/>
    </row>
    <row r="583">
      <c r="B583" s="22"/>
      <c r="C583" s="22"/>
      <c r="D583" s="30"/>
    </row>
    <row r="584">
      <c r="B584" s="22"/>
      <c r="C584" s="22"/>
      <c r="D584" s="30"/>
    </row>
    <row r="585">
      <c r="B585" s="22"/>
      <c r="C585" s="22"/>
      <c r="D585" s="30"/>
    </row>
    <row r="586">
      <c r="B586" s="22"/>
      <c r="C586" s="22"/>
      <c r="D586" s="30"/>
    </row>
    <row r="587">
      <c r="B587" s="22"/>
      <c r="C587" s="22"/>
      <c r="D587" s="30"/>
    </row>
    <row r="588">
      <c r="B588" s="22"/>
      <c r="C588" s="22"/>
      <c r="D588" s="30"/>
    </row>
    <row r="589">
      <c r="B589" s="22"/>
      <c r="C589" s="22"/>
      <c r="D589" s="30"/>
    </row>
    <row r="590">
      <c r="B590" s="22"/>
      <c r="C590" s="22"/>
      <c r="D590" s="30"/>
    </row>
    <row r="591">
      <c r="B591" s="22"/>
      <c r="C591" s="22"/>
      <c r="D591" s="30"/>
    </row>
    <row r="592">
      <c r="B592" s="22"/>
      <c r="C592" s="22"/>
      <c r="D592" s="30"/>
    </row>
    <row r="593">
      <c r="B593" s="22"/>
      <c r="C593" s="22"/>
      <c r="D593" s="30"/>
    </row>
    <row r="594">
      <c r="B594" s="22"/>
      <c r="C594" s="22"/>
      <c r="D594" s="30"/>
    </row>
    <row r="595">
      <c r="B595" s="22"/>
      <c r="C595" s="22"/>
      <c r="D595" s="30"/>
    </row>
    <row r="596">
      <c r="B596" s="22"/>
      <c r="C596" s="22"/>
      <c r="D596" s="30"/>
    </row>
    <row r="597">
      <c r="B597" s="22"/>
      <c r="C597" s="22"/>
      <c r="D597" s="30"/>
    </row>
    <row r="598">
      <c r="B598" s="22"/>
      <c r="C598" s="22"/>
      <c r="D598" s="30"/>
    </row>
    <row r="599">
      <c r="B599" s="22"/>
      <c r="C599" s="22"/>
      <c r="D599" s="30"/>
    </row>
    <row r="600">
      <c r="B600" s="22"/>
      <c r="C600" s="22"/>
      <c r="D600" s="30"/>
    </row>
    <row r="601">
      <c r="B601" s="22"/>
      <c r="C601" s="22"/>
      <c r="D601" s="30"/>
    </row>
    <row r="602">
      <c r="B602" s="22"/>
      <c r="C602" s="22"/>
      <c r="D602" s="30"/>
    </row>
    <row r="603">
      <c r="B603" s="22"/>
      <c r="C603" s="22"/>
      <c r="D603" s="30"/>
    </row>
    <row r="604">
      <c r="B604" s="22"/>
      <c r="C604" s="22"/>
      <c r="D604" s="30"/>
    </row>
    <row r="605">
      <c r="B605" s="22"/>
      <c r="C605" s="22"/>
      <c r="D605" s="30"/>
    </row>
    <row r="606">
      <c r="B606" s="22"/>
      <c r="C606" s="22"/>
      <c r="D606" s="30"/>
    </row>
    <row r="607">
      <c r="B607" s="22"/>
      <c r="C607" s="22"/>
      <c r="D607" s="30"/>
    </row>
    <row r="608">
      <c r="B608" s="22"/>
      <c r="C608" s="22"/>
      <c r="D608" s="30"/>
    </row>
    <row r="609">
      <c r="B609" s="22"/>
      <c r="C609" s="22"/>
      <c r="D609" s="30"/>
    </row>
    <row r="610">
      <c r="B610" s="22"/>
      <c r="C610" s="22"/>
      <c r="D610" s="30"/>
    </row>
    <row r="611">
      <c r="B611" s="22"/>
      <c r="C611" s="22"/>
      <c r="D611" s="30"/>
    </row>
    <row r="612">
      <c r="B612" s="22"/>
      <c r="C612" s="22"/>
      <c r="D612" s="30"/>
    </row>
    <row r="613">
      <c r="B613" s="22"/>
      <c r="C613" s="22"/>
      <c r="D613" s="30"/>
    </row>
    <row r="614">
      <c r="B614" s="22"/>
      <c r="C614" s="22"/>
      <c r="D614" s="30"/>
    </row>
    <row r="615">
      <c r="B615" s="22"/>
      <c r="C615" s="22"/>
      <c r="D615" s="30"/>
    </row>
    <row r="616">
      <c r="B616" s="22"/>
      <c r="C616" s="22"/>
      <c r="D616" s="30"/>
    </row>
    <row r="617">
      <c r="B617" s="22"/>
      <c r="C617" s="22"/>
      <c r="D617" s="30"/>
    </row>
    <row r="618">
      <c r="B618" s="22"/>
      <c r="C618" s="22"/>
      <c r="D618" s="30"/>
    </row>
    <row r="619">
      <c r="B619" s="22"/>
      <c r="C619" s="22"/>
      <c r="D619" s="30"/>
    </row>
    <row r="620">
      <c r="B620" s="22"/>
      <c r="C620" s="22"/>
      <c r="D620" s="30"/>
    </row>
    <row r="621">
      <c r="B621" s="22"/>
      <c r="C621" s="22"/>
      <c r="D621" s="30"/>
    </row>
    <row r="622">
      <c r="B622" s="22"/>
      <c r="C622" s="22"/>
      <c r="D622" s="30"/>
    </row>
    <row r="623">
      <c r="B623" s="22"/>
      <c r="C623" s="22"/>
      <c r="D623" s="30"/>
    </row>
    <row r="624">
      <c r="B624" s="22"/>
      <c r="C624" s="22"/>
      <c r="D624" s="30"/>
    </row>
    <row r="625">
      <c r="B625" s="22"/>
      <c r="C625" s="22"/>
      <c r="D625" s="30"/>
    </row>
    <row r="626">
      <c r="B626" s="22"/>
      <c r="C626" s="22"/>
      <c r="D626" s="30"/>
    </row>
    <row r="627">
      <c r="B627" s="22"/>
      <c r="C627" s="22"/>
      <c r="D627" s="30"/>
    </row>
    <row r="628">
      <c r="B628" s="22"/>
      <c r="C628" s="22"/>
      <c r="D628" s="30"/>
    </row>
    <row r="629">
      <c r="B629" s="22"/>
      <c r="C629" s="22"/>
      <c r="D629" s="30"/>
    </row>
    <row r="630">
      <c r="B630" s="22"/>
      <c r="C630" s="22"/>
      <c r="D630" s="30"/>
    </row>
    <row r="631">
      <c r="B631" s="22"/>
      <c r="C631" s="22"/>
      <c r="D631" s="30"/>
    </row>
    <row r="632">
      <c r="B632" s="22"/>
      <c r="C632" s="22"/>
      <c r="D632" s="30"/>
    </row>
    <row r="633">
      <c r="B633" s="22"/>
      <c r="C633" s="22"/>
      <c r="D633" s="30"/>
    </row>
    <row r="634">
      <c r="B634" s="22"/>
      <c r="C634" s="22"/>
      <c r="D634" s="30"/>
    </row>
    <row r="635">
      <c r="B635" s="22"/>
      <c r="C635" s="22"/>
      <c r="D635" s="30"/>
    </row>
    <row r="636">
      <c r="B636" s="22"/>
      <c r="C636" s="22"/>
      <c r="D636" s="30"/>
    </row>
    <row r="637">
      <c r="B637" s="22"/>
      <c r="C637" s="22"/>
      <c r="D637" s="30"/>
    </row>
    <row r="638">
      <c r="B638" s="22"/>
      <c r="C638" s="22"/>
      <c r="D638" s="30"/>
    </row>
    <row r="639">
      <c r="B639" s="22"/>
      <c r="C639" s="22"/>
      <c r="D639" s="30"/>
    </row>
    <row r="640">
      <c r="B640" s="22"/>
      <c r="C640" s="22"/>
      <c r="D640" s="30"/>
    </row>
    <row r="641">
      <c r="B641" s="22"/>
      <c r="C641" s="22"/>
      <c r="D641" s="30"/>
    </row>
    <row r="642">
      <c r="B642" s="22"/>
      <c r="C642" s="22"/>
      <c r="D642" s="30"/>
    </row>
    <row r="643">
      <c r="B643" s="22"/>
      <c r="C643" s="22"/>
      <c r="D643" s="30"/>
    </row>
    <row r="644">
      <c r="B644" s="22"/>
      <c r="C644" s="22"/>
      <c r="D644" s="30"/>
    </row>
    <row r="645">
      <c r="B645" s="22"/>
      <c r="C645" s="22"/>
      <c r="D645" s="30"/>
    </row>
    <row r="646">
      <c r="B646" s="22"/>
      <c r="C646" s="22"/>
      <c r="D646" s="30"/>
    </row>
    <row r="647">
      <c r="B647" s="22"/>
      <c r="C647" s="22"/>
      <c r="D647" s="30"/>
    </row>
    <row r="648">
      <c r="B648" s="22"/>
      <c r="C648" s="22"/>
      <c r="D648" s="30"/>
    </row>
    <row r="649">
      <c r="B649" s="22"/>
      <c r="C649" s="22"/>
      <c r="D649" s="30"/>
    </row>
    <row r="650">
      <c r="B650" s="22"/>
      <c r="C650" s="22"/>
      <c r="D650" s="30"/>
    </row>
    <row r="651">
      <c r="B651" s="22"/>
      <c r="C651" s="22"/>
      <c r="D651" s="30"/>
    </row>
    <row r="652">
      <c r="B652" s="22"/>
      <c r="C652" s="22"/>
      <c r="D652" s="30"/>
    </row>
    <row r="653">
      <c r="B653" s="22"/>
      <c r="C653" s="22"/>
      <c r="D653" s="30"/>
    </row>
    <row r="654">
      <c r="B654" s="22"/>
      <c r="C654" s="22"/>
      <c r="D654" s="30"/>
    </row>
    <row r="655">
      <c r="B655" s="22"/>
      <c r="C655" s="22"/>
      <c r="D655" s="30"/>
    </row>
    <row r="656">
      <c r="B656" s="22"/>
      <c r="C656" s="22"/>
      <c r="D656" s="30"/>
    </row>
    <row r="657">
      <c r="B657" s="22"/>
      <c r="C657" s="22"/>
      <c r="D657" s="30"/>
    </row>
    <row r="658">
      <c r="B658" s="22"/>
      <c r="C658" s="22"/>
      <c r="D658" s="30"/>
    </row>
    <row r="659">
      <c r="B659" s="22"/>
      <c r="C659" s="22"/>
      <c r="D659" s="30"/>
    </row>
    <row r="660">
      <c r="B660" s="22"/>
      <c r="C660" s="22"/>
      <c r="D660" s="30"/>
    </row>
    <row r="661">
      <c r="B661" s="22"/>
      <c r="C661" s="22"/>
      <c r="D661" s="30"/>
    </row>
    <row r="662">
      <c r="B662" s="22"/>
      <c r="C662" s="22"/>
      <c r="D662" s="30"/>
    </row>
    <row r="663">
      <c r="B663" s="22"/>
      <c r="C663" s="22"/>
      <c r="D663" s="30"/>
    </row>
    <row r="664">
      <c r="B664" s="22"/>
      <c r="C664" s="22"/>
      <c r="D664" s="30"/>
    </row>
    <row r="665">
      <c r="B665" s="22"/>
      <c r="C665" s="22"/>
      <c r="D665" s="30"/>
    </row>
    <row r="666">
      <c r="B666" s="22"/>
      <c r="C666" s="22"/>
      <c r="D666" s="30"/>
    </row>
    <row r="667">
      <c r="B667" s="22"/>
      <c r="C667" s="22"/>
      <c r="D667" s="30"/>
    </row>
    <row r="668">
      <c r="B668" s="22"/>
      <c r="C668" s="22"/>
      <c r="D668" s="30"/>
    </row>
    <row r="669">
      <c r="B669" s="22"/>
      <c r="C669" s="22"/>
      <c r="D669" s="30"/>
    </row>
    <row r="670">
      <c r="B670" s="22"/>
      <c r="C670" s="22"/>
      <c r="D670" s="30"/>
    </row>
    <row r="671">
      <c r="B671" s="22"/>
      <c r="C671" s="22"/>
      <c r="D671" s="30"/>
    </row>
    <row r="672">
      <c r="B672" s="22"/>
      <c r="C672" s="22"/>
      <c r="D672" s="30"/>
    </row>
    <row r="673">
      <c r="B673" s="22"/>
      <c r="C673" s="22"/>
      <c r="D673" s="30"/>
    </row>
    <row r="674">
      <c r="B674" s="22"/>
      <c r="C674" s="22"/>
      <c r="D674" s="30"/>
    </row>
    <row r="675">
      <c r="B675" s="22"/>
      <c r="C675" s="22"/>
      <c r="D675" s="30"/>
    </row>
    <row r="676">
      <c r="B676" s="22"/>
      <c r="C676" s="22"/>
      <c r="D676" s="30"/>
    </row>
    <row r="677">
      <c r="B677" s="22"/>
      <c r="C677" s="22"/>
      <c r="D677" s="30"/>
    </row>
    <row r="678">
      <c r="B678" s="22"/>
      <c r="C678" s="22"/>
      <c r="D678" s="30"/>
    </row>
    <row r="679">
      <c r="B679" s="22"/>
      <c r="C679" s="22"/>
      <c r="D679" s="30"/>
    </row>
    <row r="680">
      <c r="B680" s="22"/>
      <c r="C680" s="22"/>
      <c r="D680" s="30"/>
    </row>
    <row r="681">
      <c r="B681" s="22"/>
      <c r="C681" s="22"/>
      <c r="D681" s="30"/>
    </row>
    <row r="682">
      <c r="B682" s="22"/>
      <c r="C682" s="22"/>
      <c r="D682" s="30"/>
    </row>
    <row r="683">
      <c r="B683" s="22"/>
      <c r="C683" s="22"/>
      <c r="D683" s="30"/>
    </row>
    <row r="684">
      <c r="B684" s="22"/>
      <c r="C684" s="22"/>
      <c r="D684" s="30"/>
    </row>
    <row r="685">
      <c r="B685" s="22"/>
      <c r="C685" s="22"/>
      <c r="D685" s="30"/>
    </row>
    <row r="686">
      <c r="B686" s="22"/>
      <c r="C686" s="22"/>
      <c r="D686" s="30"/>
    </row>
    <row r="687">
      <c r="B687" s="22"/>
      <c r="C687" s="22"/>
      <c r="D687" s="30"/>
    </row>
    <row r="688">
      <c r="B688" s="22"/>
      <c r="C688" s="22"/>
      <c r="D688" s="30"/>
    </row>
    <row r="689">
      <c r="B689" s="22"/>
      <c r="C689" s="22"/>
      <c r="D689" s="30"/>
    </row>
    <row r="690">
      <c r="B690" s="22"/>
      <c r="C690" s="22"/>
      <c r="D690" s="30"/>
    </row>
    <row r="691">
      <c r="B691" s="22"/>
      <c r="C691" s="22"/>
      <c r="D691" s="30"/>
    </row>
    <row r="692">
      <c r="B692" s="22"/>
      <c r="C692" s="22"/>
      <c r="D692" s="30"/>
    </row>
    <row r="693">
      <c r="B693" s="22"/>
      <c r="C693" s="22"/>
      <c r="D693" s="30"/>
    </row>
    <row r="694">
      <c r="B694" s="22"/>
      <c r="C694" s="22"/>
      <c r="D694" s="30"/>
    </row>
    <row r="695">
      <c r="B695" s="22"/>
      <c r="C695" s="22"/>
      <c r="D695" s="30"/>
    </row>
    <row r="696">
      <c r="B696" s="22"/>
      <c r="C696" s="22"/>
      <c r="D696" s="30"/>
    </row>
    <row r="697">
      <c r="B697" s="22"/>
      <c r="C697" s="22"/>
      <c r="D697" s="30"/>
    </row>
    <row r="698">
      <c r="B698" s="22"/>
      <c r="C698" s="22"/>
      <c r="D698" s="30"/>
    </row>
    <row r="699">
      <c r="B699" s="22"/>
      <c r="C699" s="22"/>
      <c r="D699" s="30"/>
    </row>
    <row r="700">
      <c r="B700" s="22"/>
      <c r="C700" s="22"/>
      <c r="D700" s="30"/>
    </row>
    <row r="701">
      <c r="B701" s="22"/>
      <c r="C701" s="22"/>
      <c r="D701" s="30"/>
    </row>
    <row r="702">
      <c r="B702" s="22"/>
      <c r="C702" s="22"/>
      <c r="D702" s="30"/>
    </row>
    <row r="703">
      <c r="B703" s="22"/>
      <c r="C703" s="22"/>
      <c r="D703" s="30"/>
    </row>
    <row r="704">
      <c r="B704" s="22"/>
      <c r="C704" s="22"/>
      <c r="D704" s="30"/>
    </row>
    <row r="705">
      <c r="B705" s="22"/>
      <c r="C705" s="22"/>
      <c r="D705" s="30"/>
    </row>
    <row r="706">
      <c r="B706" s="22"/>
      <c r="C706" s="22"/>
      <c r="D706" s="30"/>
    </row>
    <row r="707">
      <c r="B707" s="22"/>
      <c r="C707" s="22"/>
      <c r="D707" s="30"/>
    </row>
    <row r="708">
      <c r="B708" s="22"/>
      <c r="C708" s="22"/>
      <c r="D708" s="30"/>
    </row>
    <row r="709">
      <c r="B709" s="22"/>
      <c r="C709" s="22"/>
      <c r="D709" s="30"/>
    </row>
    <row r="710">
      <c r="B710" s="22"/>
      <c r="C710" s="22"/>
      <c r="D710" s="30"/>
    </row>
    <row r="711">
      <c r="B711" s="22"/>
      <c r="C711" s="22"/>
      <c r="D711" s="30"/>
    </row>
    <row r="712">
      <c r="B712" s="22"/>
      <c r="C712" s="22"/>
      <c r="D712" s="30"/>
    </row>
    <row r="713">
      <c r="B713" s="22"/>
      <c r="C713" s="22"/>
      <c r="D713" s="30"/>
    </row>
    <row r="714">
      <c r="B714" s="22"/>
      <c r="C714" s="22"/>
      <c r="D714" s="30"/>
    </row>
    <row r="715">
      <c r="B715" s="22"/>
      <c r="C715" s="22"/>
      <c r="D715" s="30"/>
    </row>
    <row r="716">
      <c r="B716" s="22"/>
      <c r="C716" s="22"/>
      <c r="D716" s="30"/>
    </row>
    <row r="717">
      <c r="B717" s="22"/>
      <c r="C717" s="22"/>
      <c r="D717" s="30"/>
    </row>
    <row r="718">
      <c r="B718" s="22"/>
      <c r="C718" s="22"/>
      <c r="D718" s="30"/>
    </row>
    <row r="719">
      <c r="B719" s="22"/>
      <c r="C719" s="22"/>
      <c r="D719" s="30"/>
    </row>
    <row r="720">
      <c r="B720" s="22"/>
      <c r="C720" s="22"/>
      <c r="D720" s="30"/>
    </row>
    <row r="721">
      <c r="B721" s="22"/>
      <c r="C721" s="22"/>
      <c r="D721" s="30"/>
    </row>
    <row r="722">
      <c r="B722" s="22"/>
      <c r="C722" s="22"/>
      <c r="D722" s="30"/>
    </row>
    <row r="723">
      <c r="B723" s="22"/>
      <c r="C723" s="22"/>
      <c r="D723" s="30"/>
    </row>
    <row r="724">
      <c r="B724" s="22"/>
      <c r="C724" s="22"/>
      <c r="D724" s="30"/>
    </row>
    <row r="725">
      <c r="B725" s="22"/>
      <c r="C725" s="22"/>
      <c r="D725" s="30"/>
    </row>
    <row r="726">
      <c r="B726" s="22"/>
      <c r="C726" s="22"/>
      <c r="D726" s="30"/>
    </row>
    <row r="727">
      <c r="B727" s="22"/>
      <c r="C727" s="22"/>
      <c r="D727" s="30"/>
    </row>
    <row r="728">
      <c r="B728" s="22"/>
      <c r="C728" s="22"/>
      <c r="D728" s="30"/>
    </row>
    <row r="729">
      <c r="B729" s="22"/>
      <c r="C729" s="22"/>
      <c r="D729" s="30"/>
    </row>
    <row r="730">
      <c r="B730" s="22"/>
      <c r="C730" s="22"/>
      <c r="D730" s="30"/>
    </row>
    <row r="731">
      <c r="B731" s="22"/>
      <c r="C731" s="22"/>
      <c r="D731" s="30"/>
    </row>
    <row r="732">
      <c r="B732" s="22"/>
      <c r="C732" s="22"/>
      <c r="D732" s="30"/>
    </row>
    <row r="733">
      <c r="B733" s="22"/>
      <c r="C733" s="22"/>
      <c r="D733" s="30"/>
    </row>
    <row r="734">
      <c r="B734" s="22"/>
      <c r="C734" s="22"/>
      <c r="D734" s="30"/>
    </row>
    <row r="735">
      <c r="B735" s="22"/>
      <c r="C735" s="22"/>
      <c r="D735" s="30"/>
    </row>
    <row r="736">
      <c r="B736" s="22"/>
      <c r="C736" s="22"/>
      <c r="D736" s="30"/>
    </row>
    <row r="737">
      <c r="B737" s="22"/>
      <c r="C737" s="22"/>
      <c r="D737" s="30"/>
    </row>
    <row r="738">
      <c r="B738" s="22"/>
      <c r="C738" s="22"/>
      <c r="D738" s="30"/>
    </row>
    <row r="739">
      <c r="B739" s="22"/>
      <c r="C739" s="22"/>
      <c r="D739" s="30"/>
    </row>
    <row r="740">
      <c r="B740" s="22"/>
      <c r="C740" s="22"/>
      <c r="D740" s="30"/>
    </row>
    <row r="741">
      <c r="B741" s="22"/>
      <c r="C741" s="22"/>
      <c r="D741" s="30"/>
    </row>
    <row r="742">
      <c r="B742" s="22"/>
      <c r="C742" s="22"/>
      <c r="D742" s="30"/>
    </row>
    <row r="743">
      <c r="B743" s="22"/>
      <c r="C743" s="22"/>
      <c r="D743" s="30"/>
    </row>
    <row r="744">
      <c r="B744" s="22"/>
      <c r="C744" s="22"/>
      <c r="D744" s="30"/>
    </row>
    <row r="745">
      <c r="B745" s="22"/>
      <c r="C745" s="22"/>
      <c r="D745" s="30"/>
    </row>
    <row r="746">
      <c r="B746" s="22"/>
      <c r="C746" s="22"/>
      <c r="D746" s="30"/>
    </row>
    <row r="747">
      <c r="B747" s="22"/>
      <c r="C747" s="22"/>
      <c r="D747" s="30"/>
    </row>
    <row r="748">
      <c r="B748" s="22"/>
      <c r="C748" s="22"/>
      <c r="D748" s="30"/>
    </row>
    <row r="749">
      <c r="B749" s="22"/>
      <c r="C749" s="22"/>
      <c r="D749" s="30"/>
    </row>
    <row r="750">
      <c r="B750" s="22"/>
      <c r="C750" s="22"/>
      <c r="D750" s="30"/>
    </row>
    <row r="751">
      <c r="B751" s="22"/>
      <c r="C751" s="22"/>
      <c r="D751" s="30"/>
    </row>
    <row r="752">
      <c r="B752" s="22"/>
      <c r="C752" s="22"/>
      <c r="D752" s="30"/>
    </row>
    <row r="753">
      <c r="B753" s="22"/>
      <c r="C753" s="22"/>
      <c r="D753" s="30"/>
    </row>
    <row r="754">
      <c r="B754" s="22"/>
      <c r="C754" s="22"/>
      <c r="D754" s="30"/>
    </row>
    <row r="755">
      <c r="B755" s="22"/>
      <c r="C755" s="22"/>
      <c r="D755" s="30"/>
    </row>
    <row r="756">
      <c r="B756" s="22"/>
      <c r="C756" s="22"/>
      <c r="D756" s="30"/>
    </row>
    <row r="757">
      <c r="B757" s="22"/>
      <c r="C757" s="22"/>
      <c r="D757" s="30"/>
    </row>
    <row r="758">
      <c r="B758" s="22"/>
      <c r="C758" s="22"/>
      <c r="D758" s="30"/>
    </row>
    <row r="759">
      <c r="B759" s="22"/>
      <c r="C759" s="22"/>
      <c r="D759" s="30"/>
    </row>
    <row r="760">
      <c r="B760" s="22"/>
      <c r="C760" s="22"/>
      <c r="D760" s="30"/>
    </row>
    <row r="761">
      <c r="B761" s="22"/>
      <c r="C761" s="22"/>
      <c r="D761" s="30"/>
    </row>
    <row r="762">
      <c r="B762" s="22"/>
      <c r="C762" s="22"/>
      <c r="D762" s="30"/>
    </row>
    <row r="763">
      <c r="B763" s="22"/>
      <c r="C763" s="22"/>
      <c r="D763" s="30"/>
    </row>
    <row r="764">
      <c r="B764" s="22"/>
      <c r="C764" s="22"/>
      <c r="D764" s="30"/>
    </row>
    <row r="765">
      <c r="B765" s="22"/>
      <c r="C765" s="22"/>
      <c r="D765" s="30"/>
    </row>
    <row r="766">
      <c r="B766" s="22"/>
      <c r="C766" s="22"/>
      <c r="D766" s="30"/>
    </row>
    <row r="767">
      <c r="B767" s="22"/>
      <c r="C767" s="22"/>
      <c r="D767" s="30"/>
    </row>
    <row r="768">
      <c r="B768" s="22"/>
      <c r="C768" s="22"/>
      <c r="D768" s="30"/>
    </row>
    <row r="769">
      <c r="B769" s="22"/>
      <c r="C769" s="22"/>
      <c r="D769" s="30"/>
    </row>
    <row r="770">
      <c r="B770" s="22"/>
      <c r="C770" s="22"/>
      <c r="D770" s="30"/>
    </row>
    <row r="771">
      <c r="B771" s="22"/>
      <c r="C771" s="22"/>
      <c r="D771" s="30"/>
    </row>
    <row r="772">
      <c r="B772" s="22"/>
      <c r="C772" s="22"/>
      <c r="D772" s="30"/>
    </row>
    <row r="773">
      <c r="B773" s="22"/>
      <c r="C773" s="22"/>
      <c r="D773" s="30"/>
    </row>
    <row r="774">
      <c r="B774" s="22"/>
      <c r="C774" s="22"/>
      <c r="D774" s="30"/>
    </row>
    <row r="775">
      <c r="B775" s="22"/>
      <c r="C775" s="22"/>
      <c r="D775" s="30"/>
    </row>
    <row r="776">
      <c r="B776" s="22"/>
      <c r="C776" s="22"/>
      <c r="D776" s="30"/>
    </row>
    <row r="777">
      <c r="B777" s="22"/>
      <c r="C777" s="22"/>
      <c r="D777" s="30"/>
    </row>
    <row r="778">
      <c r="B778" s="22"/>
      <c r="C778" s="22"/>
      <c r="D778" s="30"/>
    </row>
    <row r="779">
      <c r="B779" s="22"/>
      <c r="C779" s="22"/>
      <c r="D779" s="30"/>
    </row>
    <row r="780">
      <c r="B780" s="22"/>
      <c r="C780" s="22"/>
      <c r="D780" s="30"/>
    </row>
    <row r="781">
      <c r="B781" s="22"/>
      <c r="C781" s="22"/>
      <c r="D781" s="30"/>
    </row>
    <row r="782">
      <c r="B782" s="22"/>
      <c r="C782" s="22"/>
      <c r="D782" s="30"/>
    </row>
    <row r="783">
      <c r="B783" s="22"/>
      <c r="C783" s="22"/>
      <c r="D783" s="30"/>
    </row>
    <row r="784">
      <c r="B784" s="22"/>
      <c r="C784" s="22"/>
      <c r="D784" s="30"/>
    </row>
    <row r="785">
      <c r="B785" s="22"/>
      <c r="C785" s="22"/>
      <c r="D785" s="30"/>
    </row>
    <row r="786">
      <c r="B786" s="22"/>
      <c r="C786" s="22"/>
      <c r="D786" s="30"/>
    </row>
    <row r="787">
      <c r="B787" s="22"/>
      <c r="C787" s="22"/>
      <c r="D787" s="30"/>
    </row>
    <row r="788">
      <c r="B788" s="22"/>
      <c r="C788" s="22"/>
      <c r="D788" s="30"/>
    </row>
    <row r="789">
      <c r="B789" s="22"/>
      <c r="C789" s="22"/>
      <c r="D789" s="30"/>
    </row>
    <row r="790">
      <c r="B790" s="22"/>
      <c r="C790" s="22"/>
      <c r="D790" s="30"/>
    </row>
    <row r="791">
      <c r="B791" s="22"/>
      <c r="C791" s="22"/>
      <c r="D791" s="30"/>
    </row>
    <row r="792">
      <c r="B792" s="22"/>
      <c r="C792" s="22"/>
      <c r="D792" s="30"/>
    </row>
    <row r="793">
      <c r="B793" s="22"/>
      <c r="C793" s="22"/>
      <c r="D793" s="30"/>
    </row>
    <row r="794">
      <c r="B794" s="22"/>
      <c r="C794" s="22"/>
      <c r="D794" s="30"/>
    </row>
    <row r="795">
      <c r="B795" s="22"/>
      <c r="C795" s="22"/>
      <c r="D795" s="30"/>
    </row>
    <row r="796">
      <c r="B796" s="22"/>
      <c r="C796" s="22"/>
      <c r="D796" s="30"/>
    </row>
    <row r="797">
      <c r="B797" s="22"/>
      <c r="C797" s="22"/>
      <c r="D797" s="30"/>
    </row>
    <row r="798">
      <c r="B798" s="22"/>
      <c r="C798" s="22"/>
      <c r="D798" s="30"/>
    </row>
    <row r="799">
      <c r="B799" s="22"/>
      <c r="C799" s="22"/>
      <c r="D799" s="30"/>
    </row>
    <row r="800">
      <c r="B800" s="22"/>
      <c r="C800" s="22"/>
      <c r="D800" s="30"/>
    </row>
    <row r="801">
      <c r="B801" s="22"/>
      <c r="C801" s="22"/>
      <c r="D801" s="30"/>
    </row>
    <row r="802">
      <c r="B802" s="22"/>
      <c r="C802" s="22"/>
      <c r="D802" s="30"/>
    </row>
    <row r="803">
      <c r="B803" s="22"/>
      <c r="C803" s="22"/>
      <c r="D803" s="30"/>
    </row>
    <row r="804">
      <c r="B804" s="22"/>
      <c r="C804" s="22"/>
      <c r="D804" s="30"/>
    </row>
    <row r="805">
      <c r="B805" s="22"/>
      <c r="C805" s="22"/>
      <c r="D805" s="30"/>
    </row>
    <row r="806">
      <c r="B806" s="22"/>
      <c r="C806" s="22"/>
      <c r="D806" s="30"/>
    </row>
    <row r="807">
      <c r="B807" s="22"/>
      <c r="C807" s="22"/>
      <c r="D807" s="30"/>
    </row>
    <row r="808">
      <c r="B808" s="22"/>
      <c r="C808" s="22"/>
      <c r="D808" s="30"/>
    </row>
    <row r="809">
      <c r="B809" s="22"/>
      <c r="C809" s="22"/>
      <c r="D809" s="30"/>
    </row>
    <row r="810">
      <c r="B810" s="22"/>
      <c r="C810" s="22"/>
      <c r="D810" s="30"/>
    </row>
    <row r="811">
      <c r="B811" s="22"/>
      <c r="C811" s="22"/>
      <c r="D811" s="30"/>
    </row>
    <row r="812">
      <c r="B812" s="22"/>
      <c r="C812" s="22"/>
      <c r="D812" s="30"/>
    </row>
    <row r="813">
      <c r="B813" s="22"/>
      <c r="C813" s="22"/>
      <c r="D813" s="30"/>
    </row>
    <row r="814">
      <c r="B814" s="22"/>
      <c r="C814" s="22"/>
      <c r="D814" s="30"/>
    </row>
    <row r="815">
      <c r="B815" s="22"/>
      <c r="C815" s="22"/>
      <c r="D815" s="30"/>
    </row>
    <row r="816">
      <c r="B816" s="22"/>
      <c r="C816" s="22"/>
      <c r="D816" s="30"/>
    </row>
    <row r="817">
      <c r="B817" s="22"/>
      <c r="C817" s="22"/>
      <c r="D817" s="30"/>
    </row>
    <row r="818">
      <c r="B818" s="22"/>
      <c r="C818" s="22"/>
      <c r="D818" s="30"/>
    </row>
    <row r="819">
      <c r="B819" s="22"/>
      <c r="C819" s="22"/>
      <c r="D819" s="30"/>
    </row>
    <row r="820">
      <c r="B820" s="22"/>
      <c r="C820" s="22"/>
      <c r="D820" s="30"/>
    </row>
    <row r="821">
      <c r="B821" s="22"/>
      <c r="C821" s="22"/>
      <c r="D821" s="30"/>
    </row>
    <row r="822">
      <c r="B822" s="22"/>
      <c r="C822" s="22"/>
      <c r="D822" s="30"/>
    </row>
    <row r="823">
      <c r="B823" s="22"/>
      <c r="C823" s="22"/>
      <c r="D823" s="30"/>
    </row>
    <row r="824">
      <c r="B824" s="22"/>
      <c r="C824" s="22"/>
      <c r="D824" s="30"/>
    </row>
    <row r="825">
      <c r="B825" s="22"/>
      <c r="C825" s="22"/>
      <c r="D825" s="30"/>
    </row>
    <row r="826">
      <c r="B826" s="22"/>
      <c r="C826" s="22"/>
      <c r="D826" s="30"/>
    </row>
    <row r="827">
      <c r="B827" s="22"/>
      <c r="C827" s="22"/>
      <c r="D827" s="30"/>
    </row>
    <row r="828">
      <c r="B828" s="22"/>
      <c r="C828" s="22"/>
      <c r="D828" s="30"/>
    </row>
    <row r="829">
      <c r="B829" s="22"/>
      <c r="C829" s="22"/>
      <c r="D829" s="30"/>
    </row>
    <row r="830">
      <c r="B830" s="22"/>
      <c r="C830" s="22"/>
      <c r="D830" s="30"/>
    </row>
    <row r="831">
      <c r="B831" s="22"/>
      <c r="C831" s="22"/>
      <c r="D831" s="30"/>
    </row>
    <row r="832">
      <c r="B832" s="22"/>
      <c r="C832" s="22"/>
      <c r="D832" s="30"/>
    </row>
    <row r="833">
      <c r="B833" s="22"/>
      <c r="C833" s="22"/>
      <c r="D833" s="30"/>
    </row>
    <row r="834">
      <c r="B834" s="22"/>
      <c r="C834" s="22"/>
      <c r="D834" s="30"/>
    </row>
    <row r="835">
      <c r="B835" s="22"/>
      <c r="C835" s="22"/>
      <c r="D835" s="30"/>
    </row>
    <row r="836">
      <c r="B836" s="22"/>
      <c r="C836" s="22"/>
      <c r="D836" s="30"/>
    </row>
    <row r="837">
      <c r="B837" s="22"/>
      <c r="C837" s="22"/>
      <c r="D837" s="30"/>
    </row>
    <row r="838">
      <c r="B838" s="22"/>
      <c r="C838" s="22"/>
      <c r="D838" s="30"/>
    </row>
    <row r="839">
      <c r="B839" s="22"/>
      <c r="C839" s="22"/>
      <c r="D839" s="30"/>
    </row>
    <row r="840">
      <c r="B840" s="22"/>
      <c r="C840" s="22"/>
      <c r="D840" s="30"/>
    </row>
    <row r="841">
      <c r="B841" s="22"/>
      <c r="C841" s="22"/>
      <c r="D841" s="30"/>
    </row>
    <row r="842">
      <c r="B842" s="22"/>
      <c r="C842" s="22"/>
      <c r="D842" s="30"/>
    </row>
    <row r="843">
      <c r="B843" s="22"/>
      <c r="C843" s="22"/>
      <c r="D843" s="30"/>
    </row>
    <row r="844">
      <c r="B844" s="22"/>
      <c r="C844" s="22"/>
      <c r="D844" s="30"/>
    </row>
    <row r="845">
      <c r="B845" s="22"/>
      <c r="C845" s="22"/>
      <c r="D845" s="30"/>
    </row>
    <row r="846">
      <c r="B846" s="22"/>
      <c r="C846" s="22"/>
      <c r="D846" s="30"/>
    </row>
    <row r="847">
      <c r="B847" s="22"/>
      <c r="C847" s="22"/>
      <c r="D847" s="30"/>
    </row>
    <row r="848">
      <c r="B848" s="22"/>
      <c r="C848" s="22"/>
      <c r="D848" s="30"/>
    </row>
    <row r="849">
      <c r="B849" s="22"/>
      <c r="C849" s="22"/>
      <c r="D849" s="30"/>
    </row>
    <row r="850">
      <c r="B850" s="22"/>
      <c r="C850" s="22"/>
      <c r="D850" s="30"/>
    </row>
    <row r="851">
      <c r="B851" s="22"/>
      <c r="C851" s="22"/>
      <c r="D851" s="30"/>
    </row>
    <row r="852">
      <c r="B852" s="22"/>
      <c r="C852" s="22"/>
      <c r="D852" s="30"/>
    </row>
    <row r="853">
      <c r="B853" s="22"/>
      <c r="C853" s="22"/>
      <c r="D853" s="30"/>
    </row>
    <row r="854">
      <c r="B854" s="22"/>
      <c r="C854" s="22"/>
      <c r="D854" s="30"/>
    </row>
    <row r="855">
      <c r="B855" s="22"/>
      <c r="C855" s="22"/>
      <c r="D855" s="30"/>
    </row>
    <row r="856">
      <c r="B856" s="22"/>
      <c r="C856" s="22"/>
      <c r="D856" s="30"/>
    </row>
    <row r="857">
      <c r="B857" s="22"/>
      <c r="C857" s="22"/>
      <c r="D857" s="30"/>
    </row>
    <row r="858">
      <c r="B858" s="22"/>
      <c r="C858" s="22"/>
      <c r="D858" s="30"/>
    </row>
    <row r="859">
      <c r="B859" s="22"/>
      <c r="C859" s="22"/>
      <c r="D859" s="30"/>
    </row>
    <row r="860">
      <c r="B860" s="22"/>
      <c r="C860" s="22"/>
      <c r="D860" s="30"/>
    </row>
    <row r="861">
      <c r="B861" s="22"/>
      <c r="C861" s="22"/>
      <c r="D861" s="30"/>
    </row>
    <row r="862">
      <c r="B862" s="22"/>
      <c r="C862" s="22"/>
      <c r="D862" s="30"/>
    </row>
    <row r="863">
      <c r="B863" s="22"/>
      <c r="C863" s="22"/>
      <c r="D863" s="30"/>
    </row>
    <row r="864">
      <c r="B864" s="22"/>
      <c r="C864" s="22"/>
      <c r="D864" s="30"/>
    </row>
    <row r="865">
      <c r="B865" s="22"/>
      <c r="C865" s="22"/>
      <c r="D865" s="30"/>
    </row>
    <row r="866">
      <c r="B866" s="22"/>
      <c r="C866" s="22"/>
      <c r="D866" s="30"/>
    </row>
    <row r="867">
      <c r="B867" s="22"/>
      <c r="C867" s="22"/>
      <c r="D867" s="30"/>
    </row>
    <row r="868">
      <c r="B868" s="22"/>
      <c r="C868" s="22"/>
      <c r="D868" s="30"/>
    </row>
    <row r="869">
      <c r="B869" s="22"/>
      <c r="C869" s="22"/>
      <c r="D869" s="30"/>
    </row>
    <row r="870">
      <c r="B870" s="22"/>
      <c r="C870" s="22"/>
      <c r="D870" s="30"/>
    </row>
    <row r="871">
      <c r="B871" s="22"/>
      <c r="C871" s="22"/>
      <c r="D871" s="30"/>
    </row>
    <row r="872">
      <c r="B872" s="22"/>
      <c r="C872" s="22"/>
      <c r="D872" s="30"/>
    </row>
    <row r="873">
      <c r="B873" s="22"/>
      <c r="C873" s="22"/>
      <c r="D873" s="30"/>
    </row>
    <row r="874">
      <c r="B874" s="22"/>
      <c r="C874" s="22"/>
      <c r="D874" s="30"/>
    </row>
    <row r="875">
      <c r="B875" s="22"/>
      <c r="C875" s="22"/>
      <c r="D875" s="30"/>
    </row>
    <row r="876">
      <c r="B876" s="22"/>
      <c r="C876" s="22"/>
      <c r="D876" s="30"/>
    </row>
    <row r="877">
      <c r="B877" s="22"/>
      <c r="C877" s="22"/>
      <c r="D877" s="30"/>
    </row>
    <row r="878">
      <c r="B878" s="22"/>
      <c r="C878" s="22"/>
      <c r="D878" s="30"/>
    </row>
    <row r="879">
      <c r="B879" s="22"/>
      <c r="C879" s="22"/>
      <c r="D879" s="30"/>
    </row>
    <row r="880">
      <c r="B880" s="22"/>
      <c r="C880" s="22"/>
      <c r="D880" s="30"/>
    </row>
    <row r="881">
      <c r="B881" s="22"/>
      <c r="C881" s="22"/>
      <c r="D881" s="30"/>
    </row>
    <row r="882">
      <c r="B882" s="22"/>
      <c r="C882" s="22"/>
      <c r="D882" s="30"/>
    </row>
    <row r="883">
      <c r="B883" s="22"/>
      <c r="C883" s="22"/>
      <c r="D883" s="30"/>
    </row>
    <row r="884">
      <c r="B884" s="22"/>
      <c r="C884" s="22"/>
      <c r="D884" s="30"/>
    </row>
    <row r="885">
      <c r="B885" s="22"/>
      <c r="C885" s="22"/>
      <c r="D885" s="30"/>
    </row>
    <row r="886">
      <c r="B886" s="22"/>
      <c r="C886" s="22"/>
      <c r="D886" s="30"/>
    </row>
    <row r="887">
      <c r="B887" s="22"/>
      <c r="C887" s="22"/>
      <c r="D887" s="30"/>
    </row>
    <row r="888">
      <c r="B888" s="22"/>
      <c r="C888" s="22"/>
      <c r="D888" s="30"/>
    </row>
    <row r="889">
      <c r="B889" s="22"/>
      <c r="C889" s="22"/>
      <c r="D889" s="30"/>
    </row>
    <row r="890">
      <c r="B890" s="22"/>
      <c r="C890" s="22"/>
      <c r="D890" s="30"/>
    </row>
    <row r="891">
      <c r="B891" s="22"/>
      <c r="C891" s="22"/>
      <c r="D891" s="30"/>
    </row>
    <row r="892">
      <c r="B892" s="22"/>
      <c r="C892" s="22"/>
      <c r="D892" s="30"/>
    </row>
    <row r="893">
      <c r="B893" s="22"/>
      <c r="C893" s="22"/>
      <c r="D893" s="30"/>
    </row>
    <row r="894">
      <c r="B894" s="22"/>
      <c r="C894" s="22"/>
      <c r="D894" s="30"/>
    </row>
    <row r="895">
      <c r="B895" s="22"/>
      <c r="C895" s="22"/>
      <c r="D895" s="30"/>
    </row>
    <row r="896">
      <c r="B896" s="22"/>
      <c r="C896" s="22"/>
      <c r="D896" s="30"/>
    </row>
    <row r="897">
      <c r="B897" s="22"/>
      <c r="C897" s="22"/>
      <c r="D897" s="30"/>
    </row>
    <row r="898">
      <c r="B898" s="22"/>
      <c r="C898" s="22"/>
      <c r="D898" s="30"/>
    </row>
    <row r="899">
      <c r="B899" s="22"/>
      <c r="C899" s="22"/>
      <c r="D899" s="30"/>
    </row>
    <row r="900">
      <c r="B900" s="22"/>
      <c r="C900" s="22"/>
      <c r="D900" s="30"/>
    </row>
    <row r="901">
      <c r="B901" s="22"/>
      <c r="C901" s="22"/>
      <c r="D901" s="30"/>
    </row>
    <row r="902">
      <c r="B902" s="22"/>
      <c r="C902" s="22"/>
      <c r="D902" s="30"/>
    </row>
    <row r="903">
      <c r="B903" s="22"/>
      <c r="C903" s="22"/>
      <c r="D903" s="30"/>
    </row>
    <row r="904">
      <c r="B904" s="22"/>
      <c r="C904" s="22"/>
      <c r="D904" s="30"/>
    </row>
    <row r="905">
      <c r="B905" s="22"/>
      <c r="C905" s="22"/>
      <c r="D905" s="30"/>
    </row>
    <row r="906">
      <c r="B906" s="22"/>
      <c r="C906" s="22"/>
      <c r="D906" s="30"/>
    </row>
    <row r="907">
      <c r="B907" s="22"/>
      <c r="C907" s="22"/>
      <c r="D907" s="30"/>
    </row>
    <row r="908">
      <c r="B908" s="22"/>
      <c r="C908" s="22"/>
      <c r="D908" s="30"/>
    </row>
    <row r="909">
      <c r="B909" s="22"/>
      <c r="C909" s="22"/>
      <c r="D909" s="30"/>
    </row>
    <row r="910">
      <c r="B910" s="22"/>
      <c r="C910" s="22"/>
      <c r="D910" s="30"/>
    </row>
    <row r="911">
      <c r="B911" s="22"/>
      <c r="C911" s="22"/>
      <c r="D911" s="30"/>
    </row>
    <row r="912">
      <c r="B912" s="22"/>
      <c r="C912" s="22"/>
      <c r="D912" s="30"/>
    </row>
    <row r="913">
      <c r="B913" s="22"/>
      <c r="C913" s="22"/>
      <c r="D913" s="30"/>
    </row>
    <row r="914">
      <c r="B914" s="22"/>
      <c r="C914" s="22"/>
      <c r="D914" s="30"/>
    </row>
    <row r="915">
      <c r="B915" s="22"/>
      <c r="C915" s="22"/>
      <c r="D915" s="30"/>
    </row>
    <row r="916">
      <c r="B916" s="22"/>
      <c r="C916" s="22"/>
      <c r="D916" s="30"/>
    </row>
    <row r="917">
      <c r="B917" s="22"/>
      <c r="C917" s="22"/>
      <c r="D917" s="30"/>
    </row>
    <row r="918">
      <c r="B918" s="22"/>
      <c r="C918" s="22"/>
      <c r="D918" s="30"/>
    </row>
    <row r="919">
      <c r="B919" s="22"/>
      <c r="C919" s="22"/>
      <c r="D919" s="30"/>
    </row>
    <row r="920">
      <c r="B920" s="22"/>
      <c r="C920" s="22"/>
      <c r="D920" s="30"/>
    </row>
    <row r="921">
      <c r="B921" s="22"/>
      <c r="C921" s="22"/>
      <c r="D921" s="30"/>
    </row>
    <row r="922">
      <c r="B922" s="22"/>
      <c r="C922" s="22"/>
      <c r="D922" s="30"/>
    </row>
    <row r="923">
      <c r="B923" s="22"/>
      <c r="C923" s="22"/>
      <c r="D923" s="30"/>
    </row>
    <row r="924">
      <c r="B924" s="22"/>
      <c r="C924" s="22"/>
      <c r="D924" s="30"/>
    </row>
    <row r="925">
      <c r="B925" s="22"/>
      <c r="C925" s="22"/>
      <c r="D925" s="30"/>
    </row>
    <row r="926">
      <c r="B926" s="22"/>
      <c r="C926" s="22"/>
      <c r="D926" s="30"/>
    </row>
    <row r="927">
      <c r="B927" s="22"/>
      <c r="C927" s="22"/>
      <c r="D927" s="30"/>
    </row>
    <row r="928">
      <c r="B928" s="22"/>
      <c r="C928" s="22"/>
      <c r="D928" s="30"/>
    </row>
    <row r="929">
      <c r="B929" s="22"/>
      <c r="C929" s="22"/>
      <c r="D929" s="30"/>
    </row>
    <row r="930">
      <c r="B930" s="22"/>
      <c r="C930" s="22"/>
      <c r="D930" s="30"/>
    </row>
    <row r="931">
      <c r="B931" s="22"/>
      <c r="C931" s="22"/>
      <c r="D931" s="30"/>
    </row>
    <row r="932">
      <c r="B932" s="22"/>
      <c r="C932" s="22"/>
      <c r="D932" s="30"/>
    </row>
    <row r="933">
      <c r="B933" s="22"/>
      <c r="C933" s="22"/>
      <c r="D933" s="30"/>
    </row>
    <row r="934">
      <c r="B934" s="22"/>
      <c r="C934" s="22"/>
      <c r="D934" s="30"/>
    </row>
    <row r="935">
      <c r="B935" s="22"/>
      <c r="C935" s="22"/>
      <c r="D935" s="30"/>
    </row>
    <row r="936">
      <c r="B936" s="22"/>
      <c r="C936" s="22"/>
      <c r="D936" s="30"/>
    </row>
    <row r="937">
      <c r="B937" s="22"/>
      <c r="C937" s="22"/>
      <c r="D937" s="30"/>
    </row>
    <row r="938">
      <c r="B938" s="22"/>
      <c r="C938" s="22"/>
      <c r="D938" s="30"/>
    </row>
    <row r="939">
      <c r="B939" s="22"/>
      <c r="C939" s="22"/>
      <c r="D939" s="30"/>
    </row>
    <row r="940">
      <c r="B940" s="22"/>
      <c r="C940" s="22"/>
      <c r="D940" s="30"/>
    </row>
    <row r="941">
      <c r="B941" s="22"/>
      <c r="C941" s="22"/>
      <c r="D941" s="30"/>
    </row>
    <row r="942">
      <c r="B942" s="22"/>
      <c r="C942" s="22"/>
      <c r="D942" s="30"/>
    </row>
    <row r="943">
      <c r="B943" s="22"/>
      <c r="C943" s="22"/>
      <c r="D943" s="30"/>
    </row>
    <row r="944">
      <c r="B944" s="22"/>
      <c r="C944" s="22"/>
      <c r="D944" s="30"/>
    </row>
    <row r="945">
      <c r="B945" s="22"/>
      <c r="C945" s="22"/>
      <c r="D945" s="30"/>
    </row>
    <row r="946">
      <c r="B946" s="22"/>
      <c r="C946" s="22"/>
      <c r="D946" s="30"/>
    </row>
    <row r="947">
      <c r="B947" s="22"/>
      <c r="C947" s="22"/>
      <c r="D947" s="30"/>
    </row>
    <row r="948">
      <c r="B948" s="22"/>
      <c r="C948" s="22"/>
      <c r="D948" s="30"/>
    </row>
    <row r="949">
      <c r="B949" s="22"/>
      <c r="C949" s="22"/>
      <c r="D949" s="30"/>
    </row>
    <row r="950">
      <c r="B950" s="22"/>
      <c r="C950" s="22"/>
      <c r="D950" s="30"/>
    </row>
    <row r="951">
      <c r="B951" s="22"/>
      <c r="C951" s="22"/>
      <c r="D951" s="30"/>
    </row>
    <row r="952">
      <c r="B952" s="22"/>
      <c r="C952" s="22"/>
      <c r="D952" s="30"/>
    </row>
    <row r="953">
      <c r="B953" s="22"/>
      <c r="C953" s="22"/>
      <c r="D953" s="30"/>
    </row>
    <row r="954">
      <c r="B954" s="22"/>
      <c r="C954" s="22"/>
      <c r="D954" s="30"/>
    </row>
    <row r="955">
      <c r="B955" s="22"/>
      <c r="C955" s="22"/>
      <c r="D955" s="30"/>
    </row>
    <row r="956">
      <c r="B956" s="22"/>
      <c r="C956" s="22"/>
      <c r="D956" s="30"/>
    </row>
    <row r="957">
      <c r="B957" s="22"/>
      <c r="C957" s="22"/>
      <c r="D957" s="30"/>
    </row>
    <row r="958">
      <c r="B958" s="22"/>
      <c r="C958" s="22"/>
      <c r="D958" s="30"/>
    </row>
    <row r="959">
      <c r="B959" s="22"/>
      <c r="C959" s="22"/>
      <c r="D959" s="30"/>
    </row>
    <row r="960">
      <c r="B960" s="22"/>
      <c r="C960" s="22"/>
      <c r="D960" s="30"/>
    </row>
    <row r="961">
      <c r="B961" s="22"/>
      <c r="C961" s="22"/>
      <c r="D961" s="30"/>
    </row>
    <row r="962">
      <c r="B962" s="22"/>
      <c r="C962" s="22"/>
      <c r="D962" s="30"/>
    </row>
    <row r="963">
      <c r="B963" s="22"/>
      <c r="C963" s="22"/>
      <c r="D963" s="30"/>
    </row>
    <row r="964">
      <c r="B964" s="22"/>
      <c r="C964" s="22"/>
      <c r="D964" s="30"/>
    </row>
    <row r="965">
      <c r="B965" s="22"/>
      <c r="C965" s="22"/>
      <c r="D965" s="30"/>
    </row>
    <row r="966">
      <c r="B966" s="22"/>
      <c r="C966" s="22"/>
      <c r="D966" s="30"/>
    </row>
    <row r="967">
      <c r="B967" s="22"/>
      <c r="C967" s="22"/>
      <c r="D967" s="30"/>
    </row>
    <row r="968">
      <c r="B968" s="22"/>
      <c r="C968" s="22"/>
      <c r="D968" s="30"/>
    </row>
    <row r="969">
      <c r="B969" s="22"/>
      <c r="C969" s="22"/>
      <c r="D969" s="30"/>
    </row>
    <row r="970">
      <c r="B970" s="22"/>
      <c r="C970" s="22"/>
      <c r="D970" s="30"/>
    </row>
    <row r="971">
      <c r="B971" s="22"/>
      <c r="C971" s="22"/>
      <c r="D971" s="30"/>
    </row>
    <row r="972">
      <c r="B972" s="22"/>
      <c r="C972" s="22"/>
      <c r="D972" s="30"/>
    </row>
    <row r="973">
      <c r="B973" s="22"/>
      <c r="C973" s="22"/>
      <c r="D973" s="30"/>
    </row>
    <row r="974">
      <c r="B974" s="22"/>
      <c r="C974" s="22"/>
      <c r="D974" s="30"/>
    </row>
    <row r="975">
      <c r="B975" s="22"/>
      <c r="C975" s="22"/>
      <c r="D975" s="30"/>
    </row>
    <row r="976">
      <c r="B976" s="22"/>
      <c r="C976" s="22"/>
      <c r="D976" s="30"/>
    </row>
    <row r="977">
      <c r="B977" s="22"/>
      <c r="C977" s="22"/>
      <c r="D977" s="30"/>
    </row>
    <row r="978">
      <c r="B978" s="22"/>
      <c r="C978" s="22"/>
      <c r="D978" s="30"/>
    </row>
    <row r="979">
      <c r="B979" s="22"/>
      <c r="C979" s="22"/>
      <c r="D979" s="30"/>
    </row>
    <row r="980">
      <c r="B980" s="22"/>
      <c r="C980" s="22"/>
      <c r="D980" s="30"/>
    </row>
    <row r="981">
      <c r="B981" s="22"/>
      <c r="C981" s="22"/>
      <c r="D981" s="30"/>
    </row>
    <row r="982">
      <c r="B982" s="22"/>
      <c r="C982" s="22"/>
      <c r="D982" s="30"/>
    </row>
    <row r="983">
      <c r="B983" s="22"/>
      <c r="C983" s="22"/>
      <c r="D983" s="30"/>
    </row>
    <row r="984">
      <c r="B984" s="22"/>
      <c r="C984" s="22"/>
      <c r="D984" s="30"/>
    </row>
    <row r="985">
      <c r="B985" s="22"/>
      <c r="C985" s="22"/>
      <c r="D985" s="30"/>
    </row>
    <row r="986">
      <c r="B986" s="22"/>
      <c r="C986" s="22"/>
      <c r="D986" s="30"/>
    </row>
    <row r="987">
      <c r="B987" s="22"/>
      <c r="C987" s="22"/>
      <c r="D987" s="30"/>
    </row>
    <row r="988">
      <c r="B988" s="22"/>
      <c r="C988" s="22"/>
      <c r="D988" s="30"/>
    </row>
    <row r="989">
      <c r="B989" s="22"/>
      <c r="C989" s="22"/>
      <c r="D989" s="30"/>
    </row>
    <row r="990">
      <c r="B990" s="22"/>
      <c r="C990" s="22"/>
      <c r="D990" s="30"/>
    </row>
    <row r="991">
      <c r="B991" s="22"/>
      <c r="C991" s="22"/>
      <c r="D991" s="30"/>
    </row>
    <row r="992">
      <c r="B992" s="22"/>
      <c r="C992" s="22"/>
      <c r="D992" s="30"/>
    </row>
    <row r="993">
      <c r="B993" s="22"/>
      <c r="C993" s="22"/>
      <c r="D993" s="30"/>
    </row>
    <row r="994">
      <c r="B994" s="22"/>
      <c r="C994" s="22"/>
      <c r="D994" s="30"/>
    </row>
    <row r="995">
      <c r="B995" s="22"/>
      <c r="C995" s="22"/>
      <c r="D995" s="30"/>
    </row>
    <row r="996">
      <c r="B996" s="22"/>
      <c r="C996" s="22"/>
      <c r="D996" s="30"/>
    </row>
    <row r="997">
      <c r="B997" s="22"/>
      <c r="C997" s="22"/>
      <c r="D997" s="30"/>
    </row>
    <row r="998">
      <c r="B998" s="22"/>
      <c r="C998" s="22"/>
      <c r="D998" s="30"/>
    </row>
    <row r="999">
      <c r="B999" s="22"/>
      <c r="C999" s="22"/>
      <c r="D999" s="30"/>
    </row>
    <row r="1000">
      <c r="B1000" s="22"/>
      <c r="C1000" s="22"/>
      <c r="D1000" s="30"/>
    </row>
    <row r="1001">
      <c r="B1001" s="22"/>
      <c r="C1001" s="22"/>
      <c r="D1001" s="30"/>
    </row>
    <row r="1002">
      <c r="B1002" s="22"/>
      <c r="C1002" s="22"/>
      <c r="D1002" s="30"/>
    </row>
    <row r="1003">
      <c r="B1003" s="22"/>
      <c r="C1003" s="22"/>
      <c r="D1003" s="30"/>
    </row>
    <row r="1004">
      <c r="B1004" s="22"/>
      <c r="C1004" s="22"/>
      <c r="D1004" s="30"/>
    </row>
    <row r="1005">
      <c r="B1005" s="22"/>
      <c r="C1005" s="22"/>
      <c r="D1005" s="30"/>
    </row>
    <row r="1006">
      <c r="B1006" s="22"/>
      <c r="C1006" s="22"/>
      <c r="D1006" s="30"/>
    </row>
    <row r="1007">
      <c r="B1007" s="22"/>
      <c r="C1007" s="22"/>
      <c r="D1007" s="30"/>
    </row>
    <row r="1008">
      <c r="B1008" s="22"/>
      <c r="C1008" s="22"/>
      <c r="D1008" s="30"/>
    </row>
    <row r="1009">
      <c r="B1009" s="22"/>
      <c r="C1009" s="22"/>
      <c r="D1009" s="30"/>
    </row>
    <row r="1010">
      <c r="B1010" s="22"/>
      <c r="C1010" s="22"/>
      <c r="D1010" s="30"/>
    </row>
    <row r="1011">
      <c r="B1011" s="22"/>
      <c r="C1011" s="22"/>
      <c r="D1011" s="30"/>
    </row>
    <row r="1012">
      <c r="B1012" s="22"/>
      <c r="C1012" s="22"/>
      <c r="D1012" s="30"/>
    </row>
    <row r="1013">
      <c r="B1013" s="22"/>
      <c r="C1013" s="22"/>
      <c r="D1013" s="30"/>
    </row>
    <row r="1014">
      <c r="B1014" s="22"/>
      <c r="C1014" s="22"/>
      <c r="D1014" s="30"/>
    </row>
    <row r="1015">
      <c r="B1015" s="22"/>
      <c r="C1015" s="22"/>
      <c r="D1015" s="30"/>
    </row>
    <row r="1016">
      <c r="B1016" s="22"/>
      <c r="C1016" s="22"/>
      <c r="D1016" s="30"/>
    </row>
    <row r="1017">
      <c r="B1017" s="22"/>
      <c r="C1017" s="22"/>
      <c r="D1017" s="30"/>
    </row>
    <row r="1018">
      <c r="B1018" s="22"/>
      <c r="C1018" s="22"/>
      <c r="D1018" s="30"/>
    </row>
    <row r="1019">
      <c r="B1019" s="22"/>
      <c r="C1019" s="22"/>
      <c r="D1019" s="30"/>
    </row>
    <row r="1020">
      <c r="B1020" s="22"/>
      <c r="C1020" s="22"/>
      <c r="D1020" s="30"/>
    </row>
    <row r="1021">
      <c r="B1021" s="22"/>
      <c r="C1021" s="22"/>
      <c r="D1021" s="30"/>
    </row>
    <row r="1022">
      <c r="B1022" s="22"/>
      <c r="C1022" s="22"/>
      <c r="D1022" s="30"/>
    </row>
    <row r="1023">
      <c r="B1023" s="22"/>
      <c r="C1023" s="22"/>
      <c r="D1023" s="30"/>
    </row>
    <row r="1024">
      <c r="B1024" s="22"/>
      <c r="C1024" s="22"/>
      <c r="D1024" s="30"/>
    </row>
    <row r="1025">
      <c r="B1025" s="22"/>
      <c r="C1025" s="22"/>
      <c r="D1025" s="30"/>
    </row>
    <row r="1026">
      <c r="B1026" s="22"/>
      <c r="C1026" s="22"/>
      <c r="D1026" s="30"/>
    </row>
    <row r="1027">
      <c r="B1027" s="22"/>
      <c r="C1027" s="22"/>
      <c r="D1027" s="30"/>
    </row>
    <row r="1028">
      <c r="B1028" s="22"/>
      <c r="C1028" s="22"/>
      <c r="D1028" s="30"/>
    </row>
    <row r="1029">
      <c r="B1029" s="22"/>
      <c r="C1029" s="22"/>
      <c r="D1029" s="30"/>
    </row>
    <row r="1030">
      <c r="B1030" s="22"/>
      <c r="C1030" s="22"/>
      <c r="D1030" s="30"/>
    </row>
    <row r="1031">
      <c r="B1031" s="22"/>
      <c r="C1031" s="22"/>
      <c r="D1031" s="30"/>
    </row>
    <row r="1032">
      <c r="B1032" s="22"/>
      <c r="C1032" s="22"/>
      <c r="D1032" s="30"/>
    </row>
    <row r="1033">
      <c r="B1033" s="22"/>
      <c r="C1033" s="22"/>
      <c r="D1033" s="30"/>
    </row>
    <row r="1034">
      <c r="B1034" s="22"/>
      <c r="C1034" s="22"/>
      <c r="D1034" s="30"/>
    </row>
    <row r="1035">
      <c r="B1035" s="22"/>
      <c r="C1035" s="22"/>
      <c r="D1035" s="30"/>
    </row>
    <row r="1036">
      <c r="B1036" s="22"/>
      <c r="C1036" s="22"/>
      <c r="D1036" s="30"/>
    </row>
    <row r="1037">
      <c r="B1037" s="22"/>
      <c r="C1037" s="22"/>
      <c r="D1037" s="30"/>
    </row>
    <row r="1038">
      <c r="B1038" s="22"/>
      <c r="C1038" s="22"/>
      <c r="D1038" s="30"/>
    </row>
    <row r="1039">
      <c r="B1039" s="22"/>
      <c r="C1039" s="22"/>
      <c r="D1039" s="30"/>
    </row>
    <row r="1040">
      <c r="B1040" s="22"/>
      <c r="C1040" s="22"/>
      <c r="D1040" s="30"/>
    </row>
    <row r="1041">
      <c r="B1041" s="22"/>
      <c r="C1041" s="22"/>
      <c r="D1041" s="30"/>
    </row>
    <row r="1042">
      <c r="B1042" s="22"/>
      <c r="C1042" s="22"/>
      <c r="D1042" s="30"/>
    </row>
    <row r="1043">
      <c r="B1043" s="22"/>
      <c r="C1043" s="22"/>
      <c r="D1043" s="30"/>
    </row>
    <row r="1044">
      <c r="B1044" s="22"/>
      <c r="C1044" s="22"/>
      <c r="D1044" s="30"/>
    </row>
    <row r="1045">
      <c r="B1045" s="22"/>
      <c r="C1045" s="22"/>
      <c r="D1045" s="30"/>
    </row>
    <row r="1046">
      <c r="B1046" s="22"/>
      <c r="C1046" s="22"/>
      <c r="D1046" s="30"/>
    </row>
    <row r="1047">
      <c r="B1047" s="22"/>
      <c r="C1047" s="22"/>
      <c r="D1047" s="30"/>
    </row>
    <row r="1048">
      <c r="B1048" s="22"/>
      <c r="C1048" s="22"/>
      <c r="D1048" s="30"/>
    </row>
    <row r="1049">
      <c r="B1049" s="22"/>
      <c r="C1049" s="22"/>
      <c r="D1049" s="30"/>
    </row>
    <row r="1050">
      <c r="B1050" s="22"/>
      <c r="C1050" s="22"/>
      <c r="D1050" s="30"/>
    </row>
    <row r="1051">
      <c r="B1051" s="22"/>
      <c r="C1051" s="22"/>
      <c r="D1051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6.0"/>
  </cols>
  <sheetData>
    <row r="1">
      <c r="A1" s="1" t="s">
        <v>3</v>
      </c>
      <c r="B1" s="5" t="s">
        <v>4</v>
      </c>
      <c r="C1" s="5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>
        <v>44853.0</v>
      </c>
      <c r="B2" s="5">
        <v>8538840.0</v>
      </c>
      <c r="C2" s="5">
        <v>2551714.0</v>
      </c>
      <c r="D2" s="6">
        <f t="shared" ref="D2:D42" si="1">C2/B2</f>
        <v>0.2988361417</v>
      </c>
    </row>
    <row r="3">
      <c r="A3" s="2">
        <v>44883.0</v>
      </c>
      <c r="B3" s="5">
        <v>8626112.0</v>
      </c>
      <c r="C3" s="5">
        <v>2220671.0</v>
      </c>
      <c r="D3" s="6">
        <f t="shared" si="1"/>
        <v>0.2574359109</v>
      </c>
    </row>
    <row r="4">
      <c r="A4" s="2">
        <v>44914.0</v>
      </c>
      <c r="B4" s="5">
        <v>1.1220178E7</v>
      </c>
      <c r="C4" s="5">
        <v>6435619.0</v>
      </c>
      <c r="D4" s="6">
        <f t="shared" si="1"/>
        <v>0.5735754816</v>
      </c>
    </row>
    <row r="5">
      <c r="A5" s="2">
        <v>44945.0</v>
      </c>
      <c r="B5" s="5">
        <v>9020754.0</v>
      </c>
      <c r="C5" s="5">
        <v>2112083.0</v>
      </c>
      <c r="D5" s="6">
        <f t="shared" si="1"/>
        <v>0.2341359713</v>
      </c>
    </row>
    <row r="6">
      <c r="A6" s="2">
        <v>44973.0</v>
      </c>
      <c r="B6" s="5">
        <v>8320339.0</v>
      </c>
      <c r="C6" s="5">
        <v>2668107.0</v>
      </c>
      <c r="D6" s="6">
        <f t="shared" si="1"/>
        <v>0.3206728716</v>
      </c>
    </row>
    <row r="7">
      <c r="A7" s="2">
        <v>45002.0</v>
      </c>
      <c r="B7" s="5">
        <v>8526747.0</v>
      </c>
      <c r="C7" s="5">
        <v>2897695.0</v>
      </c>
      <c r="D7" s="6">
        <f t="shared" si="1"/>
        <v>0.3398359304</v>
      </c>
    </row>
    <row r="8">
      <c r="A8" s="2">
        <v>45026.0</v>
      </c>
      <c r="B8" s="5">
        <v>8637974.0</v>
      </c>
      <c r="C8" s="5">
        <v>2532050.0</v>
      </c>
      <c r="D8" s="6">
        <f t="shared" si="1"/>
        <v>0.2931300789</v>
      </c>
    </row>
    <row r="9">
      <c r="A9" s="2">
        <v>45064.0</v>
      </c>
      <c r="B9" s="5">
        <v>6292491.0</v>
      </c>
      <c r="C9" s="5">
        <v>933643.0</v>
      </c>
      <c r="D9" s="6">
        <f t="shared" si="1"/>
        <v>0.1483741494</v>
      </c>
    </row>
    <row r="10">
      <c r="A10" s="2">
        <v>45091.0</v>
      </c>
      <c r="B10" s="5">
        <v>7341106.0</v>
      </c>
      <c r="C10" s="5">
        <v>2369844.0</v>
      </c>
      <c r="D10" s="6">
        <f t="shared" si="1"/>
        <v>0.3228183873</v>
      </c>
    </row>
    <row r="11">
      <c r="A11" s="2">
        <v>45126.0</v>
      </c>
      <c r="B11" s="5">
        <v>7750553.0</v>
      </c>
      <c r="C11" s="5">
        <v>2417542.0</v>
      </c>
      <c r="D11" s="6">
        <f t="shared" si="1"/>
        <v>0.3119186463</v>
      </c>
    </row>
    <row r="12">
      <c r="A12" s="4">
        <v>45156.0</v>
      </c>
      <c r="B12" s="5">
        <v>8099175.0</v>
      </c>
      <c r="C12" s="5">
        <v>2620421.0</v>
      </c>
      <c r="D12" s="6">
        <f t="shared" si="1"/>
        <v>0.3235417188</v>
      </c>
      <c r="F12" s="7"/>
      <c r="G12" s="7"/>
      <c r="H12" s="7"/>
      <c r="I12" s="7"/>
    </row>
    <row r="13">
      <c r="A13" s="2">
        <v>45187.0</v>
      </c>
      <c r="B13" s="5">
        <v>6487223.0</v>
      </c>
      <c r="C13" s="5">
        <v>1080831.0</v>
      </c>
      <c r="D13" s="6">
        <f t="shared" si="1"/>
        <v>0.1666091947</v>
      </c>
      <c r="E13" s="8">
        <f t="shared" ref="E13:E42" si="3">average(D2:D13)</f>
        <v>0.2992403736</v>
      </c>
      <c r="F13" s="9">
        <f t="shared" ref="F13:G13" si="2">average(B2:B13)</f>
        <v>8238457.667</v>
      </c>
      <c r="G13" s="9">
        <f t="shared" si="2"/>
        <v>2570018.333</v>
      </c>
      <c r="H13" s="9">
        <f t="shared" ref="H13:H42" si="5">F13*12</f>
        <v>98861492</v>
      </c>
      <c r="I13" s="9">
        <f t="shared" ref="I13:I42" si="6">G13*12*4</f>
        <v>123360880</v>
      </c>
    </row>
    <row r="14">
      <c r="A14" s="2">
        <v>45218.0</v>
      </c>
      <c r="B14" s="5">
        <v>6867108.0</v>
      </c>
      <c r="C14" s="5">
        <v>2030593.0</v>
      </c>
      <c r="D14" s="6">
        <f t="shared" si="1"/>
        <v>0.2956984221</v>
      </c>
      <c r="E14" s="8">
        <f t="shared" si="3"/>
        <v>0.2989788969</v>
      </c>
      <c r="F14" s="9">
        <f t="shared" ref="F14:G14" si="4">average(B3:B14)</f>
        <v>8099146.667</v>
      </c>
      <c r="G14" s="9">
        <f t="shared" si="4"/>
        <v>2526591.583</v>
      </c>
      <c r="H14" s="9">
        <f t="shared" si="5"/>
        <v>97189760</v>
      </c>
      <c r="I14" s="9">
        <f t="shared" si="6"/>
        <v>121276396</v>
      </c>
    </row>
    <row r="15">
      <c r="A15" s="2">
        <v>45247.0</v>
      </c>
      <c r="B15" s="5">
        <v>7325392.0</v>
      </c>
      <c r="C15" s="5">
        <v>2240032.0</v>
      </c>
      <c r="D15" s="6">
        <f t="shared" si="1"/>
        <v>0.3057900519</v>
      </c>
      <c r="E15" s="8">
        <f t="shared" si="3"/>
        <v>0.3030084087</v>
      </c>
      <c r="F15" s="9">
        <f t="shared" ref="F15:G15" si="7">average(B4:B15)</f>
        <v>7990753.333</v>
      </c>
      <c r="G15" s="9">
        <f t="shared" si="7"/>
        <v>2528205</v>
      </c>
      <c r="H15" s="9">
        <f t="shared" si="5"/>
        <v>95889040</v>
      </c>
      <c r="I15" s="9">
        <f t="shared" si="6"/>
        <v>121353840</v>
      </c>
    </row>
    <row r="16">
      <c r="A16" s="2">
        <v>45278.0</v>
      </c>
      <c r="B16" s="5">
        <v>1.0815117E7</v>
      </c>
      <c r="C16" s="5">
        <v>5192306.0</v>
      </c>
      <c r="D16" s="6">
        <f t="shared" si="1"/>
        <v>0.4800970715</v>
      </c>
      <c r="E16" s="8">
        <f t="shared" si="3"/>
        <v>0.2952185412</v>
      </c>
      <c r="F16" s="9">
        <f t="shared" ref="F16:G16" si="8">average(B5:B16)</f>
        <v>7956998.25</v>
      </c>
      <c r="G16" s="9">
        <f t="shared" si="8"/>
        <v>2424595.583</v>
      </c>
      <c r="H16" s="9">
        <f t="shared" si="5"/>
        <v>95483979</v>
      </c>
      <c r="I16" s="9">
        <f t="shared" si="6"/>
        <v>116380588</v>
      </c>
    </row>
    <row r="17">
      <c r="A17" s="2">
        <v>45309.0</v>
      </c>
      <c r="B17" s="5">
        <v>7729558.0</v>
      </c>
      <c r="C17" s="5">
        <v>1065124.0</v>
      </c>
      <c r="D17" s="6">
        <f t="shared" si="1"/>
        <v>0.1377988237</v>
      </c>
      <c r="E17" s="8">
        <f t="shared" si="3"/>
        <v>0.2871904456</v>
      </c>
      <c r="F17" s="9">
        <f t="shared" ref="F17:G17" si="9">average(B6:B17)</f>
        <v>7849398.583</v>
      </c>
      <c r="G17" s="9">
        <f t="shared" si="9"/>
        <v>2337349</v>
      </c>
      <c r="H17" s="9">
        <f t="shared" si="5"/>
        <v>94192783</v>
      </c>
      <c r="I17" s="9">
        <f t="shared" si="6"/>
        <v>112192752</v>
      </c>
    </row>
    <row r="18">
      <c r="A18" s="2">
        <v>45338.0</v>
      </c>
      <c r="B18" s="5">
        <v>7628189.0</v>
      </c>
      <c r="C18" s="5">
        <v>1980939.0</v>
      </c>
      <c r="D18" s="6">
        <f t="shared" si="1"/>
        <v>0.2596866701</v>
      </c>
      <c r="E18" s="8">
        <f t="shared" si="3"/>
        <v>0.2821082621</v>
      </c>
      <c r="F18" s="9">
        <f t="shared" ref="F18:G18" si="10">average(B7:B18)</f>
        <v>7791719.417</v>
      </c>
      <c r="G18" s="9">
        <f t="shared" si="10"/>
        <v>2280085</v>
      </c>
      <c r="H18" s="9">
        <f t="shared" si="5"/>
        <v>93500633</v>
      </c>
      <c r="I18" s="9">
        <f t="shared" si="6"/>
        <v>109444080</v>
      </c>
    </row>
    <row r="19">
      <c r="A19" s="2">
        <v>45366.0</v>
      </c>
      <c r="B19" s="5">
        <v>8051225.0</v>
      </c>
      <c r="C19" s="5">
        <v>3380333.0</v>
      </c>
      <c r="D19" s="6">
        <f t="shared" si="1"/>
        <v>0.4198532521</v>
      </c>
      <c r="E19" s="8">
        <f t="shared" si="3"/>
        <v>0.2887763722</v>
      </c>
      <c r="F19" s="9">
        <f t="shared" ref="F19:G19" si="11">average(B8:B19)</f>
        <v>7752092.583</v>
      </c>
      <c r="G19" s="9">
        <f t="shared" si="11"/>
        <v>2320304.833</v>
      </c>
      <c r="H19" s="9">
        <f t="shared" si="5"/>
        <v>93025111</v>
      </c>
      <c r="I19" s="9">
        <f t="shared" si="6"/>
        <v>111374632</v>
      </c>
    </row>
    <row r="20">
      <c r="A20" s="2">
        <v>45400.0</v>
      </c>
      <c r="B20" s="5">
        <v>7550240.0</v>
      </c>
      <c r="C20" s="5">
        <v>1944593.0</v>
      </c>
      <c r="D20" s="6">
        <f t="shared" si="1"/>
        <v>0.2575537996</v>
      </c>
      <c r="E20" s="8">
        <f t="shared" si="3"/>
        <v>0.2858116823</v>
      </c>
      <c r="F20" s="9">
        <f t="shared" ref="F20:G20" si="12">average(B9:B20)</f>
        <v>7661448.083</v>
      </c>
      <c r="G20" s="9">
        <f t="shared" si="12"/>
        <v>2271350.083</v>
      </c>
      <c r="H20" s="9">
        <f t="shared" si="5"/>
        <v>91937377</v>
      </c>
      <c r="I20" s="9">
        <f t="shared" si="6"/>
        <v>109024804</v>
      </c>
    </row>
    <row r="21">
      <c r="A21" s="2">
        <v>45429.0</v>
      </c>
      <c r="B21" s="5">
        <v>6547173.0</v>
      </c>
      <c r="C21" s="5">
        <v>1351204.0</v>
      </c>
      <c r="D21" s="6">
        <f t="shared" si="1"/>
        <v>0.2063797612</v>
      </c>
      <c r="E21" s="8">
        <f t="shared" si="3"/>
        <v>0.2906454833</v>
      </c>
      <c r="F21" s="9">
        <f t="shared" ref="F21:G21" si="13">average(B10:B21)</f>
        <v>7682671.583</v>
      </c>
      <c r="G21" s="9">
        <f t="shared" si="13"/>
        <v>2306146.833</v>
      </c>
      <c r="H21" s="9">
        <f t="shared" si="5"/>
        <v>92192059</v>
      </c>
      <c r="I21" s="9">
        <f t="shared" si="6"/>
        <v>110695048</v>
      </c>
    </row>
    <row r="22">
      <c r="A22" s="2">
        <v>45457.0</v>
      </c>
      <c r="B22" s="5">
        <v>6908914.0</v>
      </c>
      <c r="C22" s="5">
        <v>2008616.0</v>
      </c>
      <c r="D22" s="6">
        <f t="shared" si="1"/>
        <v>0.290728181</v>
      </c>
      <c r="E22" s="8">
        <f t="shared" si="3"/>
        <v>0.2879712994</v>
      </c>
      <c r="F22" s="9">
        <f t="shared" ref="F22:G22" si="14">average(B11:B22)</f>
        <v>7646655.583</v>
      </c>
      <c r="G22" s="9">
        <f t="shared" si="14"/>
        <v>2276044.5</v>
      </c>
      <c r="H22" s="9">
        <f t="shared" si="5"/>
        <v>91759867</v>
      </c>
      <c r="I22" s="9">
        <f t="shared" si="6"/>
        <v>109250136</v>
      </c>
    </row>
    <row r="23">
      <c r="A23" s="2">
        <v>45491.0</v>
      </c>
      <c r="B23" s="5">
        <v>6924714.0</v>
      </c>
      <c r="C23" s="5">
        <v>2136780.0</v>
      </c>
      <c r="D23" s="6">
        <f t="shared" si="1"/>
        <v>0.3085730328</v>
      </c>
      <c r="E23" s="8">
        <f t="shared" si="3"/>
        <v>0.2876924983</v>
      </c>
      <c r="F23" s="9">
        <f t="shared" ref="F23:G23" si="15">average(B12:B23)</f>
        <v>7577835.667</v>
      </c>
      <c r="G23" s="9">
        <f t="shared" si="15"/>
        <v>2252647.667</v>
      </c>
      <c r="H23" s="9">
        <f t="shared" si="5"/>
        <v>90934028</v>
      </c>
      <c r="I23" s="9">
        <f t="shared" si="6"/>
        <v>108127088</v>
      </c>
    </row>
    <row r="24">
      <c r="A24" s="2">
        <v>45530.0</v>
      </c>
      <c r="B24" s="5">
        <v>7526463.0</v>
      </c>
      <c r="C24" s="5">
        <v>2530964.0</v>
      </c>
      <c r="D24" s="6">
        <f t="shared" si="1"/>
        <v>0.3362753527</v>
      </c>
      <c r="E24" s="8">
        <f t="shared" si="3"/>
        <v>0.2887536345</v>
      </c>
      <c r="F24" s="9">
        <f t="shared" ref="F24:G24" si="16">average(B13:B24)</f>
        <v>7530109.667</v>
      </c>
      <c r="G24" s="9">
        <f t="shared" si="16"/>
        <v>2245192.917</v>
      </c>
      <c r="H24" s="9">
        <f t="shared" si="5"/>
        <v>90361316</v>
      </c>
      <c r="I24" s="9">
        <f t="shared" si="6"/>
        <v>107769260</v>
      </c>
    </row>
    <row r="25">
      <c r="A25" s="2">
        <v>45548.0</v>
      </c>
      <c r="B25" s="5">
        <v>6798929.0</v>
      </c>
      <c r="C25" s="5">
        <v>1090854.0</v>
      </c>
      <c r="D25" s="6">
        <f t="shared" si="1"/>
        <v>0.160444976</v>
      </c>
      <c r="E25" s="8">
        <f t="shared" si="3"/>
        <v>0.2882399496</v>
      </c>
      <c r="F25" s="9">
        <f t="shared" ref="F25:G25" si="17">average(B14:B25)</f>
        <v>7556085.167</v>
      </c>
      <c r="G25" s="9">
        <f t="shared" si="17"/>
        <v>2246028.167</v>
      </c>
      <c r="H25" s="9">
        <f t="shared" si="5"/>
        <v>90673022</v>
      </c>
      <c r="I25" s="9">
        <f t="shared" si="6"/>
        <v>107809352</v>
      </c>
    </row>
    <row r="26">
      <c r="A26" s="2">
        <v>45583.0</v>
      </c>
      <c r="B26" s="5">
        <v>6882235.0</v>
      </c>
      <c r="C26" s="5">
        <v>1837075.0</v>
      </c>
      <c r="D26" s="6">
        <f t="shared" si="1"/>
        <v>0.2669300017</v>
      </c>
      <c r="E26" s="8">
        <f t="shared" si="3"/>
        <v>0.2858425812</v>
      </c>
      <c r="F26" s="9">
        <f t="shared" ref="F26:G26" si="18">average(B15:B26)</f>
        <v>7557345.75</v>
      </c>
      <c r="G26" s="9">
        <f t="shared" si="18"/>
        <v>2229901.667</v>
      </c>
      <c r="H26" s="9">
        <f t="shared" si="5"/>
        <v>90688149</v>
      </c>
      <c r="I26" s="9">
        <f t="shared" si="6"/>
        <v>107035280</v>
      </c>
    </row>
    <row r="27">
      <c r="A27" s="2">
        <v>45611.0</v>
      </c>
      <c r="B27" s="5">
        <v>7961096.0</v>
      </c>
      <c r="C27" s="5">
        <v>2612675.0</v>
      </c>
      <c r="D27" s="6">
        <f t="shared" si="1"/>
        <v>0.3281803159</v>
      </c>
      <c r="E27" s="8">
        <f t="shared" si="3"/>
        <v>0.2877084365</v>
      </c>
      <c r="F27" s="9">
        <f t="shared" ref="F27:G27" si="19">average(B16:B27)</f>
        <v>7610321.083</v>
      </c>
      <c r="G27" s="9">
        <f t="shared" si="19"/>
        <v>2260955.25</v>
      </c>
      <c r="H27" s="9">
        <f t="shared" si="5"/>
        <v>91323853</v>
      </c>
      <c r="I27" s="9">
        <f t="shared" si="6"/>
        <v>108525852</v>
      </c>
    </row>
    <row r="28">
      <c r="A28" s="2">
        <v>45636.0</v>
      </c>
      <c r="B28" s="5">
        <v>1.0859744E7</v>
      </c>
      <c r="C28" s="5">
        <v>4729773.0</v>
      </c>
      <c r="D28" s="6">
        <f t="shared" si="1"/>
        <v>0.4355326424</v>
      </c>
      <c r="E28" s="8">
        <f t="shared" si="3"/>
        <v>0.2839947341</v>
      </c>
      <c r="F28" s="9">
        <f t="shared" ref="F28:G28" si="20">average(B17:B28)</f>
        <v>7614040</v>
      </c>
      <c r="G28" s="9">
        <f t="shared" si="20"/>
        <v>2222410.833</v>
      </c>
      <c r="H28" s="9">
        <f t="shared" si="5"/>
        <v>91368480</v>
      </c>
      <c r="I28" s="9">
        <f t="shared" si="6"/>
        <v>106675720</v>
      </c>
    </row>
    <row r="29">
      <c r="A29" s="2">
        <v>45674.0</v>
      </c>
      <c r="B29" s="5">
        <v>8116117.0</v>
      </c>
      <c r="C29" s="5">
        <v>1103864.0</v>
      </c>
      <c r="D29" s="6">
        <f t="shared" si="1"/>
        <v>0.1360088821</v>
      </c>
      <c r="E29" s="8">
        <f t="shared" si="3"/>
        <v>0.2838455723</v>
      </c>
      <c r="F29" s="9">
        <f t="shared" ref="F29:G29" si="21">average(B18:B29)</f>
        <v>7646253.25</v>
      </c>
      <c r="G29" s="9">
        <f t="shared" si="21"/>
        <v>2225639.167</v>
      </c>
      <c r="H29" s="9">
        <f t="shared" si="5"/>
        <v>91755039</v>
      </c>
      <c r="I29" s="9">
        <f t="shared" si="6"/>
        <v>106830680</v>
      </c>
    </row>
    <row r="30">
      <c r="A30" s="2">
        <v>45701.0</v>
      </c>
      <c r="B30" s="5">
        <v>6794612.0</v>
      </c>
      <c r="C30" s="5">
        <v>1181997.0</v>
      </c>
      <c r="D30" s="6">
        <f t="shared" si="1"/>
        <v>0.1739609267</v>
      </c>
      <c r="E30" s="8">
        <f t="shared" si="3"/>
        <v>0.2767017603</v>
      </c>
      <c r="F30" s="9">
        <f t="shared" ref="F30:G30" si="22">average(B19:B30)</f>
        <v>7576788.5</v>
      </c>
      <c r="G30" s="9">
        <f t="shared" si="22"/>
        <v>2159060.667</v>
      </c>
      <c r="H30" s="9">
        <f t="shared" si="5"/>
        <v>90921462</v>
      </c>
      <c r="I30" s="9">
        <f t="shared" si="6"/>
        <v>103634912</v>
      </c>
    </row>
    <row r="31">
      <c r="A31" s="2">
        <v>45737.0</v>
      </c>
      <c r="B31" s="5">
        <v>6601916.0</v>
      </c>
      <c r="C31" s="5">
        <v>1603681.0</v>
      </c>
      <c r="D31" s="6">
        <f t="shared" si="1"/>
        <v>0.2429114518</v>
      </c>
      <c r="E31" s="8">
        <f t="shared" si="3"/>
        <v>0.2619566103</v>
      </c>
      <c r="F31" s="9">
        <f t="shared" ref="F31:G31" si="23">average(B20:B31)</f>
        <v>7456012.75</v>
      </c>
      <c r="G31" s="9">
        <f t="shared" si="23"/>
        <v>2011006.333</v>
      </c>
      <c r="H31" s="9">
        <f t="shared" si="5"/>
        <v>89472153</v>
      </c>
      <c r="I31" s="9">
        <f t="shared" si="6"/>
        <v>96528304</v>
      </c>
    </row>
    <row r="32">
      <c r="A32" s="2">
        <v>45777.0</v>
      </c>
      <c r="B32" s="5">
        <v>6303284.0</v>
      </c>
      <c r="C32" s="5">
        <v>985415.0</v>
      </c>
      <c r="D32" s="6">
        <f t="shared" si="1"/>
        <v>0.1563335874</v>
      </c>
      <c r="E32" s="8">
        <f t="shared" si="3"/>
        <v>0.2535215926</v>
      </c>
      <c r="F32" s="9">
        <f t="shared" ref="F32:G32" si="24">average(B21:B32)</f>
        <v>7352099.75</v>
      </c>
      <c r="G32" s="9">
        <f t="shared" si="24"/>
        <v>1931074.833</v>
      </c>
      <c r="H32" s="9">
        <f t="shared" si="5"/>
        <v>88225197</v>
      </c>
      <c r="I32" s="9">
        <f t="shared" si="6"/>
        <v>92691592</v>
      </c>
    </row>
    <row r="33">
      <c r="A33" s="2">
        <v>45799.0</v>
      </c>
      <c r="B33" s="5">
        <v>5344288.0</v>
      </c>
      <c r="C33" s="5">
        <v>512072.0</v>
      </c>
      <c r="D33" s="6">
        <f t="shared" si="1"/>
        <v>0.09581669251</v>
      </c>
      <c r="E33" s="8">
        <f t="shared" si="3"/>
        <v>0.2443080036</v>
      </c>
      <c r="F33" s="9">
        <f t="shared" ref="F33:G33" si="25">average(B22:B33)</f>
        <v>7251859.333</v>
      </c>
      <c r="G33" s="9">
        <f t="shared" si="25"/>
        <v>1861147.167</v>
      </c>
      <c r="H33" s="9">
        <f t="shared" si="5"/>
        <v>87022312</v>
      </c>
      <c r="I33" s="9">
        <f t="shared" si="6"/>
        <v>89335064</v>
      </c>
    </row>
    <row r="34">
      <c r="A34" s="2">
        <v>45824.0</v>
      </c>
      <c r="B34" s="5">
        <v>6286498.0</v>
      </c>
      <c r="C34" s="5">
        <v>1921544.0</v>
      </c>
      <c r="D34" s="6">
        <f t="shared" si="1"/>
        <v>0.3056620713</v>
      </c>
      <c r="E34" s="8">
        <f t="shared" si="3"/>
        <v>0.2455524944</v>
      </c>
      <c r="F34" s="9">
        <f t="shared" ref="F34:G34" si="26">average(B23:B34)</f>
        <v>7199991.333</v>
      </c>
      <c r="G34" s="9">
        <f t="shared" si="26"/>
        <v>1853891.167</v>
      </c>
      <c r="H34" s="9">
        <f t="shared" si="5"/>
        <v>86399896</v>
      </c>
      <c r="I34" s="9">
        <f t="shared" si="6"/>
        <v>88986776</v>
      </c>
    </row>
    <row r="35">
      <c r="A35" s="2">
        <v>45863.0</v>
      </c>
      <c r="B35" s="5">
        <v>5952535.0</v>
      </c>
      <c r="C35" s="5">
        <v>1118644.0</v>
      </c>
      <c r="D35" s="6">
        <f t="shared" si="1"/>
        <v>0.1879273284</v>
      </c>
      <c r="E35" s="8">
        <f t="shared" si="3"/>
        <v>0.2354986857</v>
      </c>
      <c r="F35" s="9">
        <f t="shared" ref="F35:G35" si="27">average(B24:B35)</f>
        <v>7118976.417</v>
      </c>
      <c r="G35" s="9">
        <f t="shared" si="27"/>
        <v>1769046.5</v>
      </c>
      <c r="H35" s="9">
        <f t="shared" si="5"/>
        <v>85427717</v>
      </c>
      <c r="I35" s="9">
        <f t="shared" si="6"/>
        <v>84914232</v>
      </c>
    </row>
    <row r="36">
      <c r="A36" s="2">
        <v>45895.0</v>
      </c>
      <c r="B36" s="5">
        <v>6584077.0</v>
      </c>
      <c r="C36" s="5">
        <v>1890289.0</v>
      </c>
      <c r="D36" s="6">
        <f t="shared" si="1"/>
        <v>0.2871000749</v>
      </c>
      <c r="E36" s="8">
        <f t="shared" si="3"/>
        <v>0.2314007459</v>
      </c>
      <c r="F36" s="9">
        <f t="shared" ref="F36:G36" si="28">average(B25:B36)</f>
        <v>7040444.25</v>
      </c>
      <c r="G36" s="9">
        <f t="shared" si="28"/>
        <v>1715656.917</v>
      </c>
      <c r="H36" s="9">
        <f t="shared" si="5"/>
        <v>84485331</v>
      </c>
      <c r="I36" s="9">
        <f t="shared" si="6"/>
        <v>82351532</v>
      </c>
    </row>
    <row r="37">
      <c r="A37" s="2">
        <v>45926.0</v>
      </c>
      <c r="B37" s="5">
        <v>5653354.0</v>
      </c>
      <c r="C37" s="5">
        <v>616653.0</v>
      </c>
      <c r="D37" s="6">
        <f t="shared" si="1"/>
        <v>0.1090773725</v>
      </c>
      <c r="E37" s="8">
        <f t="shared" si="3"/>
        <v>0.2271201123</v>
      </c>
      <c r="F37" s="9">
        <f t="shared" ref="F37:G37" si="29">average(B26:B37)</f>
        <v>6944979.667</v>
      </c>
      <c r="G37" s="9">
        <f t="shared" si="29"/>
        <v>1676140.167</v>
      </c>
      <c r="H37" s="9">
        <f t="shared" si="5"/>
        <v>83339756</v>
      </c>
      <c r="I37" s="9">
        <f t="shared" si="6"/>
        <v>80454728</v>
      </c>
    </row>
    <row r="38">
      <c r="A38" s="2">
        <v>45961.0</v>
      </c>
      <c r="B38" s="5">
        <v>5422929.0</v>
      </c>
      <c r="C38" s="5">
        <v>877547.0</v>
      </c>
      <c r="D38" s="6">
        <f t="shared" si="1"/>
        <v>0.1618215912</v>
      </c>
      <c r="E38" s="8">
        <f t="shared" si="3"/>
        <v>0.2183610781</v>
      </c>
      <c r="F38" s="9">
        <f t="shared" ref="F38:G38" si="30">average(B27:B38)</f>
        <v>6823370.833</v>
      </c>
      <c r="G38" s="9">
        <f t="shared" si="30"/>
        <v>1596179.5</v>
      </c>
      <c r="H38" s="9">
        <f t="shared" si="5"/>
        <v>81880450</v>
      </c>
      <c r="I38" s="9">
        <f t="shared" si="6"/>
        <v>76616616</v>
      </c>
    </row>
    <row r="39">
      <c r="A39" s="2">
        <v>45991.0</v>
      </c>
      <c r="B39" s="5">
        <v>6272654.0</v>
      </c>
      <c r="C39" s="5">
        <v>1320207.0</v>
      </c>
      <c r="D39" s="6">
        <f t="shared" si="1"/>
        <v>0.2104702411</v>
      </c>
      <c r="E39" s="8">
        <f t="shared" si="3"/>
        <v>0.2085519052</v>
      </c>
      <c r="F39" s="9">
        <f t="shared" ref="F39:G39" si="31">average(B28:B39)</f>
        <v>6682667.333</v>
      </c>
      <c r="G39" s="9">
        <f t="shared" si="31"/>
        <v>1488473.833</v>
      </c>
      <c r="H39" s="9">
        <f t="shared" si="5"/>
        <v>80192008</v>
      </c>
      <c r="I39" s="9">
        <f t="shared" si="6"/>
        <v>71446744</v>
      </c>
    </row>
    <row r="40">
      <c r="A40" s="2">
        <v>46022.0</v>
      </c>
      <c r="B40" s="5">
        <v>7631668.0</v>
      </c>
      <c r="C40" s="5">
        <v>2592505.0</v>
      </c>
      <c r="D40" s="6">
        <f t="shared" si="1"/>
        <v>0.3397035877</v>
      </c>
      <c r="E40" s="8">
        <f t="shared" si="3"/>
        <v>0.2005661506</v>
      </c>
      <c r="F40" s="9">
        <f t="shared" ref="F40:G40" si="32">average(B29:B40)</f>
        <v>6413661</v>
      </c>
      <c r="G40" s="9">
        <f t="shared" si="32"/>
        <v>1310368.167</v>
      </c>
      <c r="H40" s="9">
        <f t="shared" si="5"/>
        <v>76963932</v>
      </c>
      <c r="I40" s="9">
        <f t="shared" si="6"/>
        <v>62897672</v>
      </c>
    </row>
    <row r="41">
      <c r="A41" s="2">
        <v>46053.0</v>
      </c>
      <c r="B41" s="5">
        <v>6381865.0</v>
      </c>
      <c r="C41" s="5">
        <v>254653.0</v>
      </c>
      <c r="D41" s="6">
        <f t="shared" si="1"/>
        <v>0.03990259901</v>
      </c>
      <c r="E41" s="8">
        <f t="shared" si="3"/>
        <v>0.1925572937</v>
      </c>
      <c r="F41" s="9">
        <f t="shared" ref="F41:G41" si="33">average(B30:B41)</f>
        <v>6269140</v>
      </c>
      <c r="G41" s="9">
        <f t="shared" si="33"/>
        <v>1239600.583</v>
      </c>
      <c r="H41" s="9">
        <f t="shared" si="5"/>
        <v>75229680</v>
      </c>
      <c r="I41" s="9">
        <f t="shared" si="6"/>
        <v>59500828</v>
      </c>
    </row>
    <row r="42">
      <c r="A42" s="2">
        <v>46081.0</v>
      </c>
      <c r="B42" s="5">
        <v>5108739.0</v>
      </c>
      <c r="C42" s="5">
        <v>889388.0</v>
      </c>
      <c r="D42" s="6">
        <f t="shared" si="1"/>
        <v>0.174091493</v>
      </c>
      <c r="E42" s="8">
        <f t="shared" si="3"/>
        <v>0.1925681742</v>
      </c>
      <c r="F42" s="9">
        <f t="shared" ref="F42:G42" si="34">average(B31:B42)</f>
        <v>6128650.583</v>
      </c>
      <c r="G42" s="9">
        <f t="shared" si="34"/>
        <v>1215216.5</v>
      </c>
      <c r="H42" s="9">
        <f t="shared" si="5"/>
        <v>73543807</v>
      </c>
      <c r="I42" s="9">
        <f t="shared" si="6"/>
        <v>58330392</v>
      </c>
    </row>
    <row r="43">
      <c r="A43" s="2"/>
      <c r="B43" s="5"/>
      <c r="C43" s="5"/>
      <c r="D43" s="6"/>
      <c r="E43" s="10"/>
      <c r="F43" s="9"/>
      <c r="G43" s="9"/>
      <c r="H43" s="9"/>
      <c r="I43" s="9"/>
    </row>
    <row r="44">
      <c r="B44" s="7"/>
      <c r="C44" s="7"/>
    </row>
    <row r="45">
      <c r="B45" s="7"/>
      <c r="C45" s="7"/>
    </row>
    <row r="46">
      <c r="A46" s="11"/>
      <c r="B46" s="12"/>
      <c r="C46" s="1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3">
        <f t="array" ref="A47:I47">INDEX(A2:I46, COUNTA(A2:A46), 0)</f>
        <v>46081</v>
      </c>
      <c r="B47" s="14">
        <v>5108739.0</v>
      </c>
      <c r="C47" s="14">
        <v>889388.0</v>
      </c>
      <c r="D47" s="15">
        <v>0.17409149302792726</v>
      </c>
      <c r="E47" s="15">
        <v>0.19256817424805703</v>
      </c>
      <c r="F47" s="14">
        <v>6128650.583333333</v>
      </c>
      <c r="G47" s="14">
        <v>1215216.5</v>
      </c>
      <c r="H47" s="14">
        <v>7.3543807E7</v>
      </c>
      <c r="I47" s="14">
        <v>5.8330392E7</v>
      </c>
    </row>
    <row r="50">
      <c r="A50" s="1" t="s">
        <v>12</v>
      </c>
      <c r="F50" s="16">
        <f>F47*12</f>
        <v>73543807</v>
      </c>
    </row>
    <row r="51">
      <c r="A51" s="1" t="s">
        <v>13</v>
      </c>
      <c r="G51" s="16">
        <f>G47*12*4</f>
        <v>58330392</v>
      </c>
    </row>
    <row r="52">
      <c r="A52" s="1" t="s">
        <v>14</v>
      </c>
      <c r="H52" s="9">
        <f>(F50+G51)/2</f>
        <v>65937099.5</v>
      </c>
    </row>
    <row r="54">
      <c r="A54" s="1" t="s">
        <v>15</v>
      </c>
      <c r="B54" s="17">
        <v>21.875</v>
      </c>
      <c r="C54" s="1" t="s">
        <v>16</v>
      </c>
      <c r="F54" s="16">
        <f>F50/100*B54</f>
        <v>16087707.78</v>
      </c>
    </row>
    <row r="55">
      <c r="G55" s="16">
        <f>G51/100*B54</f>
        <v>12759773.25</v>
      </c>
    </row>
    <row r="56">
      <c r="A56" s="1" t="s">
        <v>14</v>
      </c>
      <c r="H56" s="9">
        <f>(F54+G55)/2</f>
        <v>14423740.52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8" t="s">
        <v>17</v>
      </c>
      <c r="C1" s="18" t="s">
        <v>18</v>
      </c>
      <c r="D1" s="19" t="s">
        <v>19</v>
      </c>
      <c r="E1" s="1" t="s">
        <v>20</v>
      </c>
      <c r="F1" s="1" t="s">
        <v>21</v>
      </c>
      <c r="G1" s="1" t="s">
        <v>56</v>
      </c>
    </row>
    <row r="2">
      <c r="A2" s="2">
        <v>44836.0</v>
      </c>
      <c r="B2" s="18">
        <v>-2.5325E7</v>
      </c>
      <c r="C2" s="18"/>
      <c r="D2" s="30"/>
      <c r="E2" s="48"/>
      <c r="F2" s="1"/>
    </row>
    <row r="3">
      <c r="A3" s="2">
        <v>44883.0</v>
      </c>
      <c r="B3" s="18">
        <v>404032.26</v>
      </c>
      <c r="C3" s="18">
        <v>35.86</v>
      </c>
      <c r="D3" s="20">
        <f t="shared" ref="D3:D43" si="1">B3/C3</f>
        <v>11266.93419</v>
      </c>
      <c r="E3" s="48">
        <v>20.875</v>
      </c>
      <c r="F3" s="1" t="s">
        <v>57</v>
      </c>
    </row>
    <row r="4">
      <c r="A4" s="2">
        <v>44914.0</v>
      </c>
      <c r="B4" s="18">
        <v>432908.65</v>
      </c>
      <c r="C4" s="1">
        <v>34.85</v>
      </c>
      <c r="D4" s="20">
        <f t="shared" si="1"/>
        <v>12422.05595</v>
      </c>
      <c r="E4" s="49">
        <v>21.875</v>
      </c>
    </row>
    <row r="5">
      <c r="A5" s="2">
        <v>44945.0</v>
      </c>
      <c r="B5" s="18">
        <v>1093750.0</v>
      </c>
      <c r="C5" s="18">
        <v>33.0</v>
      </c>
      <c r="D5" s="20">
        <f t="shared" si="1"/>
        <v>33143.93939</v>
      </c>
      <c r="E5" s="50">
        <v>21.875</v>
      </c>
    </row>
    <row r="6">
      <c r="A6" s="2">
        <v>44973.0</v>
      </c>
      <c r="B6" s="18">
        <v>437500.0</v>
      </c>
      <c r="C6" s="18">
        <v>34.4</v>
      </c>
      <c r="D6" s="20">
        <f t="shared" si="1"/>
        <v>12718.02326</v>
      </c>
      <c r="E6" s="17">
        <v>21.875</v>
      </c>
    </row>
    <row r="7">
      <c r="A7" s="2">
        <v>45002.0</v>
      </c>
      <c r="B7" s="18">
        <v>546875.0</v>
      </c>
      <c r="C7" s="18">
        <v>34.2</v>
      </c>
      <c r="D7" s="20">
        <f t="shared" si="1"/>
        <v>15990.49708</v>
      </c>
      <c r="E7" s="17">
        <v>21.875</v>
      </c>
    </row>
    <row r="8">
      <c r="A8" s="2">
        <v>45026.0</v>
      </c>
      <c r="B8" s="18">
        <v>590625.0</v>
      </c>
      <c r="C8" s="18">
        <v>34.4</v>
      </c>
      <c r="D8" s="20">
        <f t="shared" si="1"/>
        <v>17169.3314</v>
      </c>
      <c r="E8" s="17">
        <v>21.875</v>
      </c>
    </row>
    <row r="9">
      <c r="A9" s="2">
        <v>45064.0</v>
      </c>
      <c r="B9" s="18">
        <v>546875.0</v>
      </c>
      <c r="C9" s="18">
        <v>34.31</v>
      </c>
      <c r="D9" s="20">
        <f t="shared" si="1"/>
        <v>15939.23055</v>
      </c>
      <c r="E9" s="17">
        <v>21.875</v>
      </c>
    </row>
    <row r="10">
      <c r="A10" s="2">
        <v>45091.0</v>
      </c>
      <c r="B10" s="18">
        <v>218750.0</v>
      </c>
      <c r="C10" s="18">
        <v>34.68</v>
      </c>
      <c r="D10" s="20">
        <f t="shared" si="1"/>
        <v>6307.670127</v>
      </c>
      <c r="E10" s="17">
        <v>21.875</v>
      </c>
    </row>
    <row r="11">
      <c r="A11" s="2">
        <v>45126.0</v>
      </c>
      <c r="B11" s="18">
        <v>481250.0</v>
      </c>
      <c r="C11" s="18">
        <v>34.67</v>
      </c>
      <c r="D11" s="20">
        <f t="shared" si="1"/>
        <v>13880.87684</v>
      </c>
      <c r="E11" s="17">
        <v>21.875</v>
      </c>
    </row>
    <row r="12">
      <c r="A12" s="2">
        <v>45156.0</v>
      </c>
      <c r="B12" s="18">
        <v>525000.0</v>
      </c>
      <c r="C12" s="18">
        <v>35.6</v>
      </c>
      <c r="D12" s="20">
        <f t="shared" si="1"/>
        <v>14747.19101</v>
      </c>
      <c r="E12" s="17">
        <v>21.875</v>
      </c>
    </row>
    <row r="13">
      <c r="A13" s="2">
        <v>45187.0</v>
      </c>
      <c r="B13" s="18">
        <v>568750.0</v>
      </c>
      <c r="C13" s="18">
        <v>35.68</v>
      </c>
      <c r="D13" s="20">
        <f t="shared" si="1"/>
        <v>15940.30269</v>
      </c>
      <c r="E13" s="17">
        <v>21.875</v>
      </c>
      <c r="G13" s="24">
        <f>average(B3:B13)</f>
        <v>531483.2645</v>
      </c>
    </row>
    <row r="14">
      <c r="A14" s="2">
        <v>45218.0</v>
      </c>
      <c r="B14" s="18">
        <v>218750.0</v>
      </c>
      <c r="C14" s="18">
        <v>36.39</v>
      </c>
      <c r="D14" s="20">
        <f t="shared" si="1"/>
        <v>6011.266832</v>
      </c>
      <c r="E14" s="17">
        <v>21.875</v>
      </c>
      <c r="G14" s="24">
        <f t="shared" ref="G14:G43" si="2">average(B3:B14)</f>
        <v>505422.1592</v>
      </c>
    </row>
    <row r="15">
      <c r="A15" s="2">
        <v>45247.0</v>
      </c>
      <c r="B15" s="18">
        <v>437500.0</v>
      </c>
      <c r="C15" s="18">
        <v>35.4</v>
      </c>
      <c r="D15" s="20">
        <f t="shared" si="1"/>
        <v>12358.75706</v>
      </c>
      <c r="E15" s="17">
        <v>21.875</v>
      </c>
      <c r="G15" s="24">
        <f t="shared" si="2"/>
        <v>508211.1375</v>
      </c>
    </row>
    <row r="16">
      <c r="A16" s="2">
        <v>45278.0</v>
      </c>
      <c r="B16" s="18">
        <v>481250.0</v>
      </c>
      <c r="C16" s="18">
        <v>34.88</v>
      </c>
      <c r="D16" s="20">
        <f t="shared" si="1"/>
        <v>13797.30505</v>
      </c>
      <c r="E16" s="17">
        <v>21.875</v>
      </c>
      <c r="G16" s="24">
        <f t="shared" si="2"/>
        <v>512239.5833</v>
      </c>
    </row>
    <row r="17">
      <c r="A17" s="2">
        <v>45309.0</v>
      </c>
      <c r="B17" s="18">
        <v>1120596.59</v>
      </c>
      <c r="C17" s="18">
        <v>35.53</v>
      </c>
      <c r="D17" s="20">
        <f t="shared" si="1"/>
        <v>31539.44807</v>
      </c>
      <c r="E17" s="17">
        <v>21.875</v>
      </c>
      <c r="G17" s="24">
        <f t="shared" si="2"/>
        <v>514476.7992</v>
      </c>
    </row>
    <row r="18">
      <c r="A18" s="2">
        <v>45338.0</v>
      </c>
      <c r="B18" s="25">
        <v>437500.0</v>
      </c>
      <c r="C18" s="18">
        <v>36.11</v>
      </c>
      <c r="D18" s="20">
        <f t="shared" si="1"/>
        <v>12115.75741</v>
      </c>
      <c r="E18" s="17">
        <v>21.875</v>
      </c>
      <c r="G18" s="24">
        <f t="shared" si="2"/>
        <v>514476.7992</v>
      </c>
    </row>
    <row r="19">
      <c r="A19" s="2">
        <v>45366.0</v>
      </c>
      <c r="B19" s="18">
        <v>437500.0</v>
      </c>
      <c r="C19" s="18">
        <v>35.82</v>
      </c>
      <c r="D19" s="20">
        <f t="shared" si="1"/>
        <v>12213.84701</v>
      </c>
      <c r="E19" s="17">
        <v>21.875</v>
      </c>
      <c r="G19" s="24">
        <f t="shared" si="2"/>
        <v>505362.2158</v>
      </c>
    </row>
    <row r="20">
      <c r="A20" s="2">
        <v>45400.0</v>
      </c>
      <c r="B20" s="18">
        <v>721875.0</v>
      </c>
      <c r="C20" s="18">
        <v>36.4</v>
      </c>
      <c r="D20" s="20">
        <f t="shared" si="1"/>
        <v>19831.73077</v>
      </c>
      <c r="E20" s="17">
        <v>21.875</v>
      </c>
      <c r="G20" s="24">
        <f t="shared" si="2"/>
        <v>516299.7158</v>
      </c>
    </row>
    <row r="21">
      <c r="A21" s="2">
        <v>45429.0</v>
      </c>
      <c r="B21" s="18">
        <v>437500.0</v>
      </c>
      <c r="C21" s="18">
        <v>36.58</v>
      </c>
      <c r="D21" s="20">
        <f t="shared" si="1"/>
        <v>11960.08748</v>
      </c>
      <c r="E21" s="17">
        <v>21.875</v>
      </c>
      <c r="G21" s="24">
        <f t="shared" si="2"/>
        <v>507185.1325</v>
      </c>
    </row>
    <row r="22">
      <c r="A22" s="2">
        <v>45457.0</v>
      </c>
      <c r="B22" s="18">
        <v>280024.28</v>
      </c>
      <c r="C22" s="18">
        <v>36.67</v>
      </c>
      <c r="D22" s="20">
        <f t="shared" si="1"/>
        <v>7636.331606</v>
      </c>
      <c r="E22" s="17">
        <v>21.875</v>
      </c>
      <c r="G22" s="24">
        <f t="shared" si="2"/>
        <v>512291.3225</v>
      </c>
    </row>
    <row r="23">
      <c r="A23" s="2">
        <v>45491.0</v>
      </c>
      <c r="B23" s="18">
        <v>437500.0</v>
      </c>
      <c r="C23" s="18">
        <v>36.0</v>
      </c>
      <c r="D23" s="20">
        <f t="shared" si="1"/>
        <v>12152.77778</v>
      </c>
      <c r="E23" s="17">
        <v>21.875</v>
      </c>
      <c r="G23" s="24">
        <f t="shared" si="2"/>
        <v>508645.4892</v>
      </c>
    </row>
    <row r="24">
      <c r="A24" s="2">
        <v>45530.0</v>
      </c>
      <c r="B24" s="18">
        <v>437500.0</v>
      </c>
      <c r="C24" s="18">
        <v>34.38</v>
      </c>
      <c r="D24" s="20">
        <f t="shared" si="1"/>
        <v>12725.42176</v>
      </c>
      <c r="E24" s="17">
        <v>21.875</v>
      </c>
      <c r="G24" s="24">
        <f t="shared" si="2"/>
        <v>501353.8225</v>
      </c>
    </row>
    <row r="25">
      <c r="A25" s="2">
        <v>45548.0</v>
      </c>
      <c r="B25" s="18">
        <v>525000.0</v>
      </c>
      <c r="C25" s="18">
        <v>33.3</v>
      </c>
      <c r="D25" s="20">
        <f t="shared" si="1"/>
        <v>15765.76577</v>
      </c>
      <c r="E25" s="17">
        <v>21.875</v>
      </c>
      <c r="G25" s="24">
        <f t="shared" si="2"/>
        <v>497707.9892</v>
      </c>
    </row>
    <row r="26">
      <c r="A26" s="2">
        <v>45583.0</v>
      </c>
      <c r="B26" s="18">
        <v>218750.0</v>
      </c>
      <c r="C26" s="18">
        <v>33.3</v>
      </c>
      <c r="D26" s="20">
        <f t="shared" si="1"/>
        <v>6569.069069</v>
      </c>
      <c r="E26" s="17">
        <v>21.875</v>
      </c>
      <c r="G26" s="24">
        <f t="shared" si="2"/>
        <v>497707.9892</v>
      </c>
    </row>
    <row r="27">
      <c r="A27" s="2">
        <v>45611.0</v>
      </c>
      <c r="B27" s="18">
        <v>393750.0</v>
      </c>
      <c r="C27" s="18">
        <v>34.53</v>
      </c>
      <c r="D27" s="20">
        <f t="shared" si="1"/>
        <v>11403.12772</v>
      </c>
      <c r="E27" s="17">
        <v>21.875</v>
      </c>
      <c r="G27" s="24">
        <f t="shared" si="2"/>
        <v>494062.1558</v>
      </c>
    </row>
    <row r="28">
      <c r="A28" s="2">
        <v>45636.0</v>
      </c>
      <c r="B28" s="18">
        <v>546875.0</v>
      </c>
      <c r="C28" s="18">
        <v>33.68</v>
      </c>
      <c r="D28" s="20">
        <f t="shared" si="1"/>
        <v>16237.38124</v>
      </c>
      <c r="E28" s="17">
        <v>21.875</v>
      </c>
      <c r="G28" s="24">
        <f t="shared" si="2"/>
        <v>499530.9058</v>
      </c>
    </row>
    <row r="29">
      <c r="A29" s="2">
        <v>45674.0</v>
      </c>
      <c r="B29" s="18">
        <v>875000.0</v>
      </c>
      <c r="C29" s="18">
        <v>34.56</v>
      </c>
      <c r="D29" s="20">
        <f t="shared" si="1"/>
        <v>25318.28704</v>
      </c>
      <c r="E29" s="17">
        <v>21.875</v>
      </c>
      <c r="G29" s="26">
        <f t="shared" si="2"/>
        <v>479064.5233</v>
      </c>
    </row>
    <row r="30">
      <c r="A30" s="2">
        <v>45701.0</v>
      </c>
      <c r="B30" s="18">
        <v>240625.0</v>
      </c>
      <c r="C30" s="18">
        <v>33.94</v>
      </c>
      <c r="D30" s="20">
        <f t="shared" si="1"/>
        <v>7089.717148</v>
      </c>
      <c r="E30" s="17">
        <v>21.875</v>
      </c>
      <c r="G30" s="24">
        <f t="shared" si="2"/>
        <v>462658.2733</v>
      </c>
    </row>
    <row r="31">
      <c r="A31" s="2">
        <v>45737.0</v>
      </c>
      <c r="B31" s="18">
        <v>262500.0</v>
      </c>
      <c r="C31" s="18">
        <v>33.57</v>
      </c>
      <c r="D31" s="20">
        <f t="shared" si="1"/>
        <v>7819.48168</v>
      </c>
      <c r="E31" s="17">
        <v>21.875</v>
      </c>
      <c r="G31" s="24">
        <f t="shared" si="2"/>
        <v>448074.94</v>
      </c>
    </row>
    <row r="32">
      <c r="A32" s="2">
        <v>45777.0</v>
      </c>
      <c r="B32" s="18">
        <v>350000.0</v>
      </c>
      <c r="C32" s="18">
        <v>33.37</v>
      </c>
      <c r="D32" s="20">
        <f t="shared" si="1"/>
        <v>10488.46269</v>
      </c>
      <c r="E32" s="17">
        <v>21.875</v>
      </c>
      <c r="G32" s="24">
        <f t="shared" si="2"/>
        <v>417085.3567</v>
      </c>
    </row>
    <row r="33">
      <c r="A33" s="2">
        <v>45799.0</v>
      </c>
      <c r="B33" s="18">
        <v>218750.0</v>
      </c>
      <c r="C33" s="18">
        <v>33.42</v>
      </c>
      <c r="D33" s="20">
        <f t="shared" si="1"/>
        <v>6545.481747</v>
      </c>
      <c r="E33" s="17">
        <v>21.875</v>
      </c>
      <c r="G33" s="24">
        <f t="shared" si="2"/>
        <v>398856.19</v>
      </c>
    </row>
    <row r="34">
      <c r="A34" s="2">
        <v>45824.0</v>
      </c>
      <c r="B34" s="18">
        <v>109375.0</v>
      </c>
      <c r="C34" s="18">
        <v>32.41</v>
      </c>
      <c r="D34" s="20">
        <f t="shared" si="1"/>
        <v>3374.730022</v>
      </c>
      <c r="E34" s="17">
        <v>21.875</v>
      </c>
      <c r="G34" s="24">
        <f t="shared" si="2"/>
        <v>384635.4167</v>
      </c>
    </row>
    <row r="35">
      <c r="A35" s="2">
        <v>45863.0</v>
      </c>
      <c r="B35" s="18">
        <v>437500.0</v>
      </c>
      <c r="C35" s="18">
        <v>32.45</v>
      </c>
      <c r="D35" s="20">
        <f t="shared" si="1"/>
        <v>13482.28043</v>
      </c>
      <c r="E35" s="17">
        <v>21.875</v>
      </c>
      <c r="G35" s="24">
        <f t="shared" si="2"/>
        <v>384635.4167</v>
      </c>
    </row>
    <row r="36">
      <c r="A36" s="2">
        <v>45895.0</v>
      </c>
      <c r="B36" s="18">
        <v>240625.0</v>
      </c>
      <c r="C36" s="18">
        <v>32.38</v>
      </c>
      <c r="D36" s="20">
        <f t="shared" si="1"/>
        <v>7431.284744</v>
      </c>
      <c r="E36" s="17">
        <v>21.875</v>
      </c>
      <c r="G36" s="24">
        <f t="shared" si="2"/>
        <v>368229.1667</v>
      </c>
    </row>
    <row r="37">
      <c r="A37" s="2">
        <v>45926.0</v>
      </c>
      <c r="B37" s="18">
        <v>437500.0</v>
      </c>
      <c r="C37" s="18">
        <v>31.83</v>
      </c>
      <c r="D37" s="20">
        <f t="shared" si="1"/>
        <v>13744.89475</v>
      </c>
      <c r="E37" s="17">
        <v>21.875</v>
      </c>
      <c r="G37" s="24">
        <f t="shared" si="2"/>
        <v>360937.5</v>
      </c>
    </row>
    <row r="38">
      <c r="A38" s="2">
        <v>45957.0</v>
      </c>
      <c r="B38" s="18">
        <v>131250.0</v>
      </c>
      <c r="C38" s="18">
        <v>32.66</v>
      </c>
      <c r="D38" s="20">
        <f t="shared" si="1"/>
        <v>4018.677281</v>
      </c>
      <c r="E38" s="17">
        <v>21.875</v>
      </c>
      <c r="G38" s="24">
        <f t="shared" si="2"/>
        <v>353645.8333</v>
      </c>
    </row>
    <row r="39">
      <c r="A39" s="2">
        <v>45992.0</v>
      </c>
      <c r="B39" s="18">
        <v>218750.0</v>
      </c>
      <c r="C39" s="18">
        <v>31.97</v>
      </c>
      <c r="D39" s="20">
        <f t="shared" si="1"/>
        <v>6842.352205</v>
      </c>
      <c r="E39" s="17">
        <v>21.875</v>
      </c>
      <c r="G39" s="24">
        <f t="shared" si="2"/>
        <v>339062.5</v>
      </c>
    </row>
    <row r="40">
      <c r="A40" s="2">
        <v>46020.0</v>
      </c>
      <c r="B40" s="18">
        <v>284375.0</v>
      </c>
      <c r="C40" s="18">
        <v>31.44</v>
      </c>
      <c r="D40" s="20">
        <f t="shared" si="1"/>
        <v>9045.006361</v>
      </c>
      <c r="E40" s="17">
        <v>21.875</v>
      </c>
      <c r="G40" s="24">
        <f t="shared" si="2"/>
        <v>317187.5</v>
      </c>
    </row>
    <row r="41">
      <c r="A41" s="2">
        <v>46052.0</v>
      </c>
      <c r="B41" s="18">
        <v>546875.0</v>
      </c>
      <c r="C41" s="18">
        <v>31.4</v>
      </c>
      <c r="D41" s="20">
        <f t="shared" si="1"/>
        <v>17416.40127</v>
      </c>
      <c r="E41" s="17">
        <v>21.875</v>
      </c>
      <c r="G41" s="24">
        <f t="shared" si="2"/>
        <v>289843.75</v>
      </c>
    </row>
    <row r="42">
      <c r="A42" s="2">
        <v>46081.0</v>
      </c>
      <c r="B42" s="18">
        <v>0.0</v>
      </c>
      <c r="C42" s="18">
        <v>32.0</v>
      </c>
      <c r="D42" s="20">
        <f t="shared" si="1"/>
        <v>0</v>
      </c>
      <c r="E42" s="17">
        <v>21.875</v>
      </c>
      <c r="G42" s="24">
        <f t="shared" si="2"/>
        <v>269791.6667</v>
      </c>
    </row>
    <row r="43">
      <c r="A43" s="2">
        <v>46112.0</v>
      </c>
      <c r="B43" s="18">
        <v>0.0</v>
      </c>
      <c r="C43" s="18">
        <v>32.89</v>
      </c>
      <c r="D43" s="20">
        <f t="shared" si="1"/>
        <v>0</v>
      </c>
      <c r="E43" s="17">
        <v>21.875</v>
      </c>
      <c r="G43" s="24">
        <f t="shared" si="2"/>
        <v>247916.6667</v>
      </c>
    </row>
    <row r="44">
      <c r="A44" s="2"/>
      <c r="B44" s="22"/>
      <c r="C44" s="18"/>
      <c r="D44" s="20"/>
    </row>
    <row r="45">
      <c r="A45" s="2"/>
      <c r="B45" s="22"/>
      <c r="C45" s="18"/>
      <c r="D45" s="20"/>
    </row>
    <row r="46">
      <c r="A46" s="2"/>
      <c r="B46" s="22"/>
      <c r="C46" s="18"/>
      <c r="D46" s="20"/>
    </row>
    <row r="47">
      <c r="B47" s="22"/>
      <c r="C47" s="22"/>
      <c r="D47" s="30"/>
    </row>
    <row r="48">
      <c r="B48" s="22"/>
      <c r="C48" s="22"/>
      <c r="D48" s="30"/>
    </row>
    <row r="49">
      <c r="A49" s="11"/>
      <c r="B49" s="27"/>
      <c r="C49" s="27"/>
      <c r="D49" s="28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51">
        <f>A31</f>
        <v>45737</v>
      </c>
      <c r="B50" s="29">
        <f>I56</f>
        <v>14423740.52</v>
      </c>
      <c r="C50" s="18" t="s">
        <v>58</v>
      </c>
      <c r="D50" s="30"/>
      <c r="F50" s="1" t="s">
        <v>22</v>
      </c>
      <c r="G50" s="29">
        <f>G37</f>
        <v>360937.5</v>
      </c>
    </row>
    <row r="51">
      <c r="A51" s="51">
        <f t="array" ref="A51:G51">INDEX(A2:G47, COUNTA(A2:A47), 0)</f>
        <v>46112</v>
      </c>
      <c r="B51" s="29">
        <v>0.0</v>
      </c>
      <c r="C51" s="52">
        <v>32.89</v>
      </c>
      <c r="D51" s="31">
        <v>0.0</v>
      </c>
      <c r="E51" s="32">
        <v>21.875</v>
      </c>
      <c r="F51" s="53"/>
      <c r="G51" s="29">
        <v>247916.66666666666</v>
      </c>
    </row>
    <row r="52">
      <c r="A52" s="11"/>
      <c r="B52" s="27"/>
      <c r="C52" s="27"/>
      <c r="D52" s="28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33" t="s">
        <v>26</v>
      </c>
      <c r="B53" s="34">
        <f>sum(B3:B49)</f>
        <v>17331311.78</v>
      </c>
      <c r="C53" s="22"/>
      <c r="D53" s="34">
        <f>sum(D3:D49)</f>
        <v>504461.1845</v>
      </c>
    </row>
    <row r="54">
      <c r="A54" s="1" t="s">
        <v>27</v>
      </c>
      <c r="B54" s="8">
        <f>B53/C59</f>
        <v>0.6843558452</v>
      </c>
      <c r="C54" s="22"/>
      <c r="D54" s="8">
        <f>D53/C60</f>
        <v>0.7575735678</v>
      </c>
    </row>
    <row r="55">
      <c r="A55" s="1" t="s">
        <v>28</v>
      </c>
      <c r="B55" s="26">
        <f>B53/E21</f>
        <v>792288.5385</v>
      </c>
      <c r="C55" s="22"/>
      <c r="D55" s="41"/>
      <c r="F55" s="1"/>
      <c r="I55" s="1" t="s">
        <v>29</v>
      </c>
      <c r="K55" s="1" t="s">
        <v>30</v>
      </c>
    </row>
    <row r="56">
      <c r="A56" s="1"/>
      <c r="B56" s="41"/>
      <c r="C56" s="22"/>
      <c r="D56" s="41"/>
      <c r="F56" s="1" t="s">
        <v>31</v>
      </c>
      <c r="G56" s="35">
        <f>AVERAGE(B3:B49)</f>
        <v>422714.9215</v>
      </c>
      <c r="H56" s="1" t="s">
        <v>29</v>
      </c>
      <c r="I56" s="36">
        <v>1.4423740515625E7</v>
      </c>
      <c r="K56" s="1">
        <v>840.0</v>
      </c>
    </row>
    <row r="57">
      <c r="A57" s="37" t="s">
        <v>26</v>
      </c>
      <c r="B57" s="22"/>
      <c r="C57" s="22"/>
      <c r="D57" s="30"/>
      <c r="F57" s="1" t="s">
        <v>32</v>
      </c>
      <c r="G57" s="38">
        <f>C59/G56</f>
        <v>59.91035261</v>
      </c>
      <c r="I57" s="16">
        <f>I56-C59</f>
        <v>-10901259.48</v>
      </c>
      <c r="K57" s="17">
        <f>K56*C58</f>
        <v>18375</v>
      </c>
    </row>
    <row r="58">
      <c r="A58" s="1" t="s">
        <v>33</v>
      </c>
      <c r="B58" s="22"/>
      <c r="C58" s="22">
        <f>C66+C74</f>
        <v>21.875</v>
      </c>
      <c r="D58" s="19" t="s">
        <v>16</v>
      </c>
      <c r="F58" s="1" t="s">
        <v>34</v>
      </c>
      <c r="G58" s="38">
        <f>G57/12</f>
        <v>4.992529384</v>
      </c>
    </row>
    <row r="59">
      <c r="A59" s="1" t="s">
        <v>35</v>
      </c>
      <c r="B59" s="22"/>
      <c r="C59" s="39">
        <f>C68+C76</f>
        <v>25325000</v>
      </c>
      <c r="D59" s="19" t="s">
        <v>36</v>
      </c>
      <c r="F59" s="1" t="s">
        <v>37</v>
      </c>
      <c r="G59" s="40">
        <v>4.0</v>
      </c>
      <c r="I59" s="1"/>
    </row>
    <row r="60">
      <c r="A60" s="1" t="s">
        <v>38</v>
      </c>
      <c r="B60" s="22"/>
      <c r="C60" s="39">
        <f>C70+C78</f>
        <v>665890.6883</v>
      </c>
      <c r="D60" s="19" t="s">
        <v>39</v>
      </c>
    </row>
    <row r="61">
      <c r="A61" s="1" t="s">
        <v>40</v>
      </c>
      <c r="B61" s="22"/>
      <c r="C61" s="22">
        <v>1157714.2857142857</v>
      </c>
      <c r="D61" s="19" t="s">
        <v>36</v>
      </c>
      <c r="F61" s="1" t="s">
        <v>41</v>
      </c>
      <c r="I61" s="25"/>
    </row>
    <row r="62">
      <c r="A62" s="1" t="s">
        <v>59</v>
      </c>
      <c r="B62" s="22"/>
      <c r="C62" s="40">
        <v>3.84</v>
      </c>
      <c r="D62" s="19" t="s">
        <v>51</v>
      </c>
      <c r="F62" s="1"/>
      <c r="I62" s="25"/>
    </row>
    <row r="63">
      <c r="B63" s="22"/>
      <c r="C63" s="22"/>
      <c r="D63" s="30"/>
      <c r="F63" s="1">
        <v>2022.0</v>
      </c>
      <c r="G63" s="42">
        <v>308000.0</v>
      </c>
    </row>
    <row r="64">
      <c r="A64" s="37" t="s">
        <v>60</v>
      </c>
      <c r="B64" s="22"/>
      <c r="C64" s="22"/>
      <c r="D64" s="30"/>
      <c r="F64" s="1">
        <v>2023.0</v>
      </c>
      <c r="G64" s="42">
        <v>282227.0</v>
      </c>
      <c r="I64" s="41"/>
    </row>
    <row r="65">
      <c r="A65" s="37" t="s">
        <v>43</v>
      </c>
      <c r="B65" s="18"/>
      <c r="C65" s="18"/>
      <c r="D65" s="18"/>
      <c r="I65" s="22"/>
    </row>
    <row r="66">
      <c r="A66" s="1" t="s">
        <v>33</v>
      </c>
      <c r="B66" s="18"/>
      <c r="C66" s="18">
        <v>20.875</v>
      </c>
      <c r="D66" s="18" t="s">
        <v>16</v>
      </c>
      <c r="F66" s="1" t="s">
        <v>44</v>
      </c>
      <c r="G66" s="43">
        <f>XIRR(B2:B52, A2:A52)</f>
        <v>0.1252531887</v>
      </c>
    </row>
    <row r="67">
      <c r="A67" s="1" t="s">
        <v>54</v>
      </c>
      <c r="B67" s="2"/>
      <c r="C67" s="2">
        <v>44836.0</v>
      </c>
      <c r="D67" s="30"/>
      <c r="F67" s="37"/>
    </row>
    <row r="68">
      <c r="A68" s="1" t="s">
        <v>45</v>
      </c>
      <c r="B68" s="18"/>
      <c r="C68" s="18">
        <v>2.45E7</v>
      </c>
      <c r="D68" s="18" t="s">
        <v>36</v>
      </c>
      <c r="F68" s="1" t="s">
        <v>47</v>
      </c>
      <c r="G68" s="16">
        <f>C59-B53</f>
        <v>7993688.22</v>
      </c>
      <c r="H68" s="1" t="s">
        <v>36</v>
      </c>
    </row>
    <row r="69">
      <c r="A69" s="1" t="s">
        <v>18</v>
      </c>
      <c r="B69" s="22"/>
      <c r="C69" s="18">
        <v>38.0</v>
      </c>
      <c r="D69" s="19"/>
      <c r="F69" s="1" t="s">
        <v>48</v>
      </c>
      <c r="G69" s="44">
        <f>G68/G50</f>
        <v>22.14701498</v>
      </c>
      <c r="H69" s="1" t="s">
        <v>49</v>
      </c>
    </row>
    <row r="70">
      <c r="A70" s="1" t="s">
        <v>38</v>
      </c>
      <c r="B70" s="22"/>
      <c r="C70" s="22">
        <v>644736.8421052631</v>
      </c>
      <c r="D70" s="19" t="s">
        <v>39</v>
      </c>
      <c r="F70" s="1" t="s">
        <v>34</v>
      </c>
      <c r="G70" s="45">
        <f>G69/12</f>
        <v>1.845584582</v>
      </c>
      <c r="H70" s="1" t="s">
        <v>51</v>
      </c>
    </row>
    <row r="71">
      <c r="B71" s="22"/>
      <c r="C71" s="22"/>
      <c r="D71" s="30"/>
      <c r="F71" s="1" t="s">
        <v>53</v>
      </c>
      <c r="G71" s="46">
        <f>DATEDIF(A2,TODAY(),"M")</f>
        <v>41</v>
      </c>
      <c r="H71" s="1" t="s">
        <v>49</v>
      </c>
    </row>
    <row r="72">
      <c r="A72" s="37" t="s">
        <v>61</v>
      </c>
      <c r="B72" s="22"/>
      <c r="C72" s="22"/>
      <c r="D72" s="30"/>
      <c r="F72" s="1" t="s">
        <v>32</v>
      </c>
      <c r="G72" s="45">
        <f>G71+G69</f>
        <v>63.14701498</v>
      </c>
      <c r="H72" s="1" t="s">
        <v>49</v>
      </c>
    </row>
    <row r="73">
      <c r="A73" s="37" t="s">
        <v>43</v>
      </c>
      <c r="B73" s="22"/>
      <c r="C73" s="22"/>
      <c r="D73" s="30"/>
      <c r="F73" s="1" t="s">
        <v>34</v>
      </c>
      <c r="G73" s="45">
        <f>G72/12</f>
        <v>5.262251248</v>
      </c>
      <c r="H73" s="1" t="s">
        <v>51</v>
      </c>
    </row>
    <row r="74">
      <c r="A74" s="1" t="s">
        <v>33</v>
      </c>
      <c r="B74" s="18"/>
      <c r="C74" s="18">
        <v>1.0</v>
      </c>
      <c r="D74" s="18" t="s">
        <v>16</v>
      </c>
      <c r="H74" s="47"/>
    </row>
    <row r="75">
      <c r="A75" s="1" t="s">
        <v>54</v>
      </c>
      <c r="B75" s="22"/>
      <c r="C75" s="2">
        <v>44854.0</v>
      </c>
      <c r="D75" s="30"/>
      <c r="G75" s="23"/>
    </row>
    <row r="76">
      <c r="A76" s="1" t="s">
        <v>45</v>
      </c>
      <c r="B76" s="18"/>
      <c r="C76" s="18">
        <v>825000.0</v>
      </c>
      <c r="D76" s="18" t="s">
        <v>36</v>
      </c>
      <c r="G76" s="41"/>
    </row>
    <row r="77">
      <c r="A77" s="1" t="s">
        <v>18</v>
      </c>
      <c r="B77" s="22"/>
      <c r="C77" s="18">
        <v>39.0</v>
      </c>
      <c r="D77" s="18"/>
    </row>
    <row r="78">
      <c r="A78" s="1" t="s">
        <v>38</v>
      </c>
      <c r="B78" s="22"/>
      <c r="C78" s="18">
        <v>21153.846153846152</v>
      </c>
      <c r="D78" s="19" t="s">
        <v>39</v>
      </c>
    </row>
    <row r="79">
      <c r="B79" s="22"/>
      <c r="C79" s="22"/>
      <c r="D79" s="30"/>
    </row>
    <row r="80">
      <c r="B80" s="22"/>
      <c r="C80" s="22"/>
      <c r="D80" s="30"/>
    </row>
    <row r="81">
      <c r="B81" s="22"/>
      <c r="C81" s="22"/>
      <c r="D81" s="30"/>
    </row>
    <row r="82">
      <c r="B82" s="22"/>
      <c r="C82" s="22"/>
      <c r="D82" s="30"/>
    </row>
    <row r="83">
      <c r="B83" s="22"/>
      <c r="C83" s="22"/>
      <c r="D83" s="30"/>
    </row>
    <row r="84">
      <c r="B84" s="22"/>
      <c r="C84" s="22"/>
      <c r="D84" s="30"/>
    </row>
    <row r="85">
      <c r="B85" s="22"/>
      <c r="C85" s="22"/>
      <c r="D85" s="30"/>
    </row>
    <row r="86">
      <c r="B86" s="22"/>
      <c r="C86" s="22"/>
      <c r="D86" s="30"/>
    </row>
    <row r="87">
      <c r="B87" s="22"/>
      <c r="C87" s="22"/>
      <c r="D87" s="30"/>
    </row>
    <row r="88">
      <c r="B88" s="22"/>
      <c r="C88" s="22"/>
      <c r="D88" s="30"/>
    </row>
    <row r="89">
      <c r="B89" s="22"/>
      <c r="C89" s="22"/>
      <c r="D89" s="30"/>
    </row>
    <row r="90">
      <c r="B90" s="22"/>
      <c r="C90" s="22"/>
      <c r="D90" s="30"/>
    </row>
    <row r="91">
      <c r="B91" s="22"/>
      <c r="C91" s="22"/>
      <c r="D91" s="30"/>
    </row>
    <row r="92">
      <c r="B92" s="22"/>
      <c r="C92" s="22"/>
      <c r="D92" s="30"/>
    </row>
    <row r="93">
      <c r="B93" s="22"/>
      <c r="C93" s="22"/>
      <c r="D93" s="30"/>
    </row>
    <row r="94">
      <c r="B94" s="22"/>
      <c r="C94" s="22"/>
      <c r="D94" s="30"/>
    </row>
    <row r="95">
      <c r="B95" s="22"/>
      <c r="C95" s="22"/>
      <c r="D95" s="30"/>
    </row>
    <row r="96">
      <c r="B96" s="22"/>
      <c r="C96" s="22"/>
      <c r="D96" s="30"/>
    </row>
    <row r="97">
      <c r="B97" s="22"/>
      <c r="C97" s="22"/>
      <c r="D97" s="30"/>
    </row>
    <row r="98">
      <c r="B98" s="22"/>
      <c r="C98" s="22"/>
      <c r="D98" s="30"/>
    </row>
    <row r="99">
      <c r="B99" s="22"/>
      <c r="C99" s="22"/>
      <c r="D99" s="30"/>
    </row>
    <row r="100">
      <c r="B100" s="22"/>
      <c r="C100" s="22"/>
      <c r="D100" s="30"/>
    </row>
    <row r="101">
      <c r="B101" s="22"/>
      <c r="C101" s="22"/>
      <c r="D101" s="30"/>
    </row>
    <row r="102">
      <c r="B102" s="22"/>
      <c r="C102" s="22"/>
      <c r="D102" s="30"/>
    </row>
    <row r="103">
      <c r="B103" s="22"/>
      <c r="C103" s="22"/>
      <c r="D103" s="30"/>
    </row>
    <row r="104">
      <c r="B104" s="22"/>
      <c r="C104" s="22"/>
      <c r="D104" s="30"/>
    </row>
    <row r="105">
      <c r="B105" s="22"/>
      <c r="C105" s="22"/>
      <c r="D105" s="30"/>
    </row>
    <row r="106">
      <c r="B106" s="22"/>
      <c r="C106" s="22"/>
      <c r="D106" s="30"/>
    </row>
    <row r="107">
      <c r="B107" s="22"/>
      <c r="C107" s="22"/>
      <c r="D107" s="30"/>
    </row>
    <row r="108">
      <c r="B108" s="22"/>
      <c r="C108" s="22"/>
      <c r="D108" s="30"/>
    </row>
    <row r="109">
      <c r="B109" s="22"/>
      <c r="C109" s="22"/>
      <c r="D109" s="30"/>
    </row>
    <row r="110">
      <c r="B110" s="22"/>
      <c r="C110" s="22"/>
      <c r="D110" s="30"/>
    </row>
    <row r="111">
      <c r="B111" s="22"/>
      <c r="C111" s="22"/>
      <c r="D111" s="30"/>
    </row>
    <row r="112">
      <c r="B112" s="22"/>
      <c r="C112" s="22"/>
      <c r="D112" s="30"/>
    </row>
    <row r="113">
      <c r="B113" s="22"/>
      <c r="C113" s="22"/>
      <c r="D113" s="30"/>
    </row>
    <row r="114">
      <c r="B114" s="22"/>
      <c r="C114" s="22"/>
      <c r="D114" s="30"/>
    </row>
    <row r="115">
      <c r="B115" s="22"/>
      <c r="C115" s="22"/>
      <c r="D115" s="30"/>
    </row>
    <row r="116">
      <c r="B116" s="22"/>
      <c r="C116" s="22"/>
      <c r="D116" s="30"/>
    </row>
    <row r="117">
      <c r="B117" s="22"/>
      <c r="C117" s="22"/>
      <c r="D117" s="30"/>
    </row>
    <row r="118">
      <c r="B118" s="22"/>
      <c r="C118" s="22"/>
      <c r="D118" s="30"/>
    </row>
    <row r="119">
      <c r="B119" s="22"/>
      <c r="C119" s="22"/>
      <c r="D119" s="30"/>
    </row>
    <row r="120">
      <c r="B120" s="22"/>
      <c r="C120" s="22"/>
      <c r="D120" s="30"/>
    </row>
    <row r="121">
      <c r="B121" s="22"/>
      <c r="C121" s="22"/>
      <c r="D121" s="30"/>
    </row>
    <row r="122">
      <c r="B122" s="22"/>
      <c r="C122" s="22"/>
      <c r="D122" s="30"/>
    </row>
    <row r="123">
      <c r="B123" s="22"/>
      <c r="C123" s="22"/>
      <c r="D123" s="30"/>
    </row>
    <row r="124">
      <c r="B124" s="22"/>
      <c r="C124" s="22"/>
      <c r="D124" s="30"/>
    </row>
    <row r="125">
      <c r="B125" s="22"/>
      <c r="C125" s="22"/>
      <c r="D125" s="30"/>
    </row>
    <row r="126">
      <c r="B126" s="22"/>
      <c r="C126" s="22"/>
      <c r="D126" s="30"/>
    </row>
    <row r="127">
      <c r="B127" s="22"/>
      <c r="C127" s="22"/>
      <c r="D127" s="30"/>
    </row>
    <row r="128">
      <c r="B128" s="22"/>
      <c r="C128" s="22"/>
      <c r="D128" s="30"/>
    </row>
    <row r="129">
      <c r="B129" s="22"/>
      <c r="C129" s="22"/>
      <c r="D129" s="30"/>
    </row>
    <row r="130">
      <c r="B130" s="22"/>
      <c r="C130" s="22"/>
      <c r="D130" s="30"/>
    </row>
    <row r="131">
      <c r="B131" s="22"/>
      <c r="C131" s="22"/>
      <c r="D131" s="30"/>
    </row>
    <row r="132">
      <c r="B132" s="22"/>
      <c r="C132" s="22"/>
      <c r="D132" s="30"/>
    </row>
    <row r="133">
      <c r="B133" s="22"/>
      <c r="C133" s="22"/>
      <c r="D133" s="30"/>
    </row>
    <row r="134">
      <c r="B134" s="22"/>
      <c r="C134" s="22"/>
      <c r="D134" s="30"/>
    </row>
    <row r="135">
      <c r="B135" s="22"/>
      <c r="C135" s="22"/>
      <c r="D135" s="30"/>
    </row>
    <row r="136">
      <c r="B136" s="22"/>
      <c r="C136" s="22"/>
      <c r="D136" s="30"/>
    </row>
    <row r="137">
      <c r="B137" s="22"/>
      <c r="C137" s="22"/>
      <c r="D137" s="30"/>
    </row>
    <row r="138">
      <c r="B138" s="22"/>
      <c r="C138" s="22"/>
      <c r="D138" s="30"/>
    </row>
    <row r="139">
      <c r="B139" s="22"/>
      <c r="C139" s="22"/>
      <c r="D139" s="30"/>
    </row>
    <row r="140">
      <c r="B140" s="22"/>
      <c r="C140" s="22"/>
      <c r="D140" s="30"/>
    </row>
    <row r="141">
      <c r="B141" s="22"/>
      <c r="C141" s="22"/>
      <c r="D141" s="30"/>
    </row>
    <row r="142">
      <c r="B142" s="22"/>
      <c r="C142" s="22"/>
      <c r="D142" s="30"/>
    </row>
    <row r="143">
      <c r="B143" s="22"/>
      <c r="C143" s="22"/>
      <c r="D143" s="30"/>
    </row>
    <row r="144">
      <c r="B144" s="22"/>
      <c r="C144" s="22"/>
      <c r="D144" s="30"/>
    </row>
    <row r="145">
      <c r="B145" s="22"/>
      <c r="C145" s="22"/>
      <c r="D145" s="30"/>
    </row>
    <row r="146">
      <c r="B146" s="22"/>
      <c r="C146" s="22"/>
      <c r="D146" s="30"/>
    </row>
    <row r="147">
      <c r="B147" s="22"/>
      <c r="C147" s="22"/>
      <c r="D147" s="30"/>
    </row>
    <row r="148">
      <c r="B148" s="22"/>
      <c r="C148" s="22"/>
      <c r="D148" s="30"/>
    </row>
    <row r="149">
      <c r="B149" s="22"/>
      <c r="C149" s="22"/>
      <c r="D149" s="30"/>
    </row>
    <row r="150">
      <c r="B150" s="22"/>
      <c r="C150" s="22"/>
      <c r="D150" s="30"/>
    </row>
    <row r="151">
      <c r="B151" s="22"/>
      <c r="C151" s="22"/>
      <c r="D151" s="30"/>
    </row>
    <row r="152">
      <c r="B152" s="22"/>
      <c r="C152" s="22"/>
      <c r="D152" s="30"/>
    </row>
    <row r="153">
      <c r="B153" s="22"/>
      <c r="C153" s="22"/>
      <c r="D153" s="30"/>
    </row>
    <row r="154">
      <c r="B154" s="22"/>
      <c r="C154" s="22"/>
      <c r="D154" s="30"/>
    </row>
    <row r="155">
      <c r="B155" s="22"/>
      <c r="C155" s="22"/>
      <c r="D155" s="30"/>
    </row>
    <row r="156">
      <c r="B156" s="22"/>
      <c r="C156" s="22"/>
      <c r="D156" s="30"/>
    </row>
    <row r="157">
      <c r="B157" s="22"/>
      <c r="C157" s="22"/>
      <c r="D157" s="30"/>
    </row>
    <row r="158">
      <c r="B158" s="22"/>
      <c r="C158" s="22"/>
      <c r="D158" s="30"/>
    </row>
    <row r="159">
      <c r="B159" s="22"/>
      <c r="C159" s="22"/>
      <c r="D159" s="30"/>
    </row>
    <row r="160">
      <c r="B160" s="22"/>
      <c r="C160" s="22"/>
      <c r="D160" s="30"/>
    </row>
    <row r="161">
      <c r="B161" s="22"/>
      <c r="C161" s="22"/>
      <c r="D161" s="30"/>
    </row>
    <row r="162">
      <c r="B162" s="22"/>
      <c r="C162" s="22"/>
      <c r="D162" s="30"/>
    </row>
    <row r="163">
      <c r="B163" s="22"/>
      <c r="C163" s="22"/>
      <c r="D163" s="30"/>
    </row>
    <row r="164">
      <c r="B164" s="22"/>
      <c r="C164" s="22"/>
      <c r="D164" s="30"/>
    </row>
    <row r="165">
      <c r="B165" s="22"/>
      <c r="C165" s="22"/>
      <c r="D165" s="30"/>
    </row>
    <row r="166">
      <c r="B166" s="22"/>
      <c r="C166" s="22"/>
      <c r="D166" s="30"/>
    </row>
    <row r="167">
      <c r="B167" s="22"/>
      <c r="C167" s="22"/>
      <c r="D167" s="30"/>
    </row>
    <row r="168">
      <c r="B168" s="22"/>
      <c r="C168" s="22"/>
      <c r="D168" s="30"/>
    </row>
    <row r="169">
      <c r="B169" s="22"/>
      <c r="C169" s="22"/>
      <c r="D169" s="30"/>
    </row>
    <row r="170">
      <c r="B170" s="22"/>
      <c r="C170" s="22"/>
      <c r="D170" s="30"/>
    </row>
    <row r="171">
      <c r="B171" s="22"/>
      <c r="C171" s="22"/>
      <c r="D171" s="30"/>
    </row>
    <row r="172">
      <c r="B172" s="22"/>
      <c r="C172" s="22"/>
      <c r="D172" s="30"/>
    </row>
    <row r="173">
      <c r="B173" s="22"/>
      <c r="C173" s="22"/>
      <c r="D173" s="30"/>
    </row>
    <row r="174">
      <c r="B174" s="22"/>
      <c r="C174" s="22"/>
      <c r="D174" s="30"/>
    </row>
    <row r="175">
      <c r="B175" s="22"/>
      <c r="C175" s="22"/>
      <c r="D175" s="30"/>
    </row>
    <row r="176">
      <c r="B176" s="22"/>
      <c r="C176" s="22"/>
      <c r="D176" s="30"/>
    </row>
    <row r="177">
      <c r="B177" s="22"/>
      <c r="C177" s="22"/>
      <c r="D177" s="30"/>
    </row>
    <row r="178">
      <c r="B178" s="22"/>
      <c r="C178" s="22"/>
      <c r="D178" s="30"/>
    </row>
    <row r="179">
      <c r="B179" s="22"/>
      <c r="C179" s="22"/>
      <c r="D179" s="30"/>
    </row>
    <row r="180">
      <c r="B180" s="22"/>
      <c r="C180" s="22"/>
      <c r="D180" s="30"/>
    </row>
    <row r="181">
      <c r="B181" s="22"/>
      <c r="C181" s="22"/>
      <c r="D181" s="30"/>
    </row>
    <row r="182">
      <c r="B182" s="22"/>
      <c r="C182" s="22"/>
      <c r="D182" s="30"/>
    </row>
    <row r="183">
      <c r="B183" s="22"/>
      <c r="C183" s="22"/>
      <c r="D183" s="30"/>
    </row>
    <row r="184">
      <c r="B184" s="22"/>
      <c r="C184" s="22"/>
      <c r="D184" s="30"/>
    </row>
    <row r="185">
      <c r="B185" s="22"/>
      <c r="C185" s="22"/>
      <c r="D185" s="30"/>
    </row>
    <row r="186">
      <c r="B186" s="22"/>
      <c r="C186" s="22"/>
      <c r="D186" s="30"/>
    </row>
    <row r="187">
      <c r="B187" s="22"/>
      <c r="C187" s="22"/>
      <c r="D187" s="30"/>
    </row>
    <row r="188">
      <c r="B188" s="22"/>
      <c r="C188" s="22"/>
      <c r="D188" s="30"/>
    </row>
    <row r="189">
      <c r="B189" s="22"/>
      <c r="C189" s="22"/>
      <c r="D189" s="30"/>
    </row>
    <row r="190">
      <c r="B190" s="22"/>
      <c r="C190" s="22"/>
      <c r="D190" s="30"/>
    </row>
    <row r="191">
      <c r="B191" s="22"/>
      <c r="C191" s="22"/>
      <c r="D191" s="30"/>
    </row>
    <row r="192">
      <c r="B192" s="22"/>
      <c r="C192" s="22"/>
      <c r="D192" s="30"/>
    </row>
    <row r="193">
      <c r="B193" s="22"/>
      <c r="C193" s="22"/>
      <c r="D193" s="30"/>
    </row>
    <row r="194">
      <c r="B194" s="22"/>
      <c r="C194" s="22"/>
      <c r="D194" s="30"/>
    </row>
    <row r="195">
      <c r="B195" s="22"/>
      <c r="C195" s="22"/>
      <c r="D195" s="30"/>
    </row>
    <row r="196">
      <c r="B196" s="22"/>
      <c r="C196" s="22"/>
      <c r="D196" s="30"/>
    </row>
    <row r="197">
      <c r="B197" s="22"/>
      <c r="C197" s="22"/>
      <c r="D197" s="30"/>
    </row>
    <row r="198">
      <c r="B198" s="22"/>
      <c r="C198" s="22"/>
      <c r="D198" s="30"/>
    </row>
    <row r="199">
      <c r="B199" s="22"/>
      <c r="C199" s="22"/>
      <c r="D199" s="30"/>
    </row>
    <row r="200">
      <c r="B200" s="22"/>
      <c r="C200" s="22"/>
      <c r="D200" s="30"/>
    </row>
    <row r="201">
      <c r="B201" s="22"/>
      <c r="C201" s="22"/>
      <c r="D201" s="30"/>
    </row>
    <row r="202">
      <c r="B202" s="22"/>
      <c r="C202" s="22"/>
      <c r="D202" s="30"/>
    </row>
    <row r="203">
      <c r="B203" s="22"/>
      <c r="C203" s="22"/>
      <c r="D203" s="30"/>
    </row>
    <row r="204">
      <c r="B204" s="22"/>
      <c r="C204" s="22"/>
      <c r="D204" s="30"/>
    </row>
    <row r="205">
      <c r="B205" s="22"/>
      <c r="C205" s="22"/>
      <c r="D205" s="30"/>
    </row>
    <row r="206">
      <c r="B206" s="22"/>
      <c r="C206" s="22"/>
      <c r="D206" s="30"/>
    </row>
    <row r="207">
      <c r="B207" s="22"/>
      <c r="C207" s="22"/>
      <c r="D207" s="30"/>
    </row>
    <row r="208">
      <c r="B208" s="22"/>
      <c r="C208" s="22"/>
      <c r="D208" s="30"/>
    </row>
    <row r="209">
      <c r="B209" s="22"/>
      <c r="C209" s="22"/>
      <c r="D209" s="30"/>
    </row>
    <row r="210">
      <c r="B210" s="22"/>
      <c r="C210" s="22"/>
      <c r="D210" s="30"/>
    </row>
    <row r="211">
      <c r="B211" s="22"/>
      <c r="C211" s="22"/>
      <c r="D211" s="30"/>
    </row>
    <row r="212">
      <c r="B212" s="22"/>
      <c r="C212" s="22"/>
      <c r="D212" s="30"/>
    </row>
    <row r="213">
      <c r="B213" s="22"/>
      <c r="C213" s="22"/>
      <c r="D213" s="30"/>
    </row>
    <row r="214">
      <c r="B214" s="22"/>
      <c r="C214" s="22"/>
      <c r="D214" s="30"/>
    </row>
    <row r="215">
      <c r="B215" s="22"/>
      <c r="C215" s="22"/>
      <c r="D215" s="30"/>
    </row>
    <row r="216">
      <c r="B216" s="22"/>
      <c r="C216" s="22"/>
      <c r="D216" s="30"/>
    </row>
    <row r="217">
      <c r="B217" s="22"/>
      <c r="C217" s="22"/>
      <c r="D217" s="30"/>
    </row>
    <row r="218">
      <c r="B218" s="22"/>
      <c r="C218" s="22"/>
      <c r="D218" s="30"/>
    </row>
    <row r="219">
      <c r="B219" s="22"/>
      <c r="C219" s="22"/>
      <c r="D219" s="30"/>
    </row>
    <row r="220">
      <c r="B220" s="22"/>
      <c r="C220" s="22"/>
      <c r="D220" s="30"/>
    </row>
    <row r="221">
      <c r="B221" s="22"/>
      <c r="C221" s="22"/>
      <c r="D221" s="30"/>
    </row>
    <row r="222">
      <c r="B222" s="22"/>
      <c r="C222" s="22"/>
      <c r="D222" s="30"/>
    </row>
    <row r="223">
      <c r="B223" s="22"/>
      <c r="C223" s="22"/>
      <c r="D223" s="30"/>
    </row>
    <row r="224">
      <c r="B224" s="22"/>
      <c r="C224" s="22"/>
      <c r="D224" s="30"/>
    </row>
    <row r="225">
      <c r="B225" s="22"/>
      <c r="C225" s="22"/>
      <c r="D225" s="30"/>
    </row>
    <row r="226">
      <c r="B226" s="22"/>
      <c r="C226" s="22"/>
      <c r="D226" s="30"/>
    </row>
    <row r="227">
      <c r="B227" s="22"/>
      <c r="C227" s="22"/>
      <c r="D227" s="30"/>
    </row>
    <row r="228">
      <c r="B228" s="22"/>
      <c r="C228" s="22"/>
      <c r="D228" s="30"/>
    </row>
    <row r="229">
      <c r="B229" s="22"/>
      <c r="C229" s="22"/>
      <c r="D229" s="30"/>
    </row>
    <row r="230">
      <c r="B230" s="22"/>
      <c r="C230" s="22"/>
      <c r="D230" s="30"/>
    </row>
    <row r="231">
      <c r="B231" s="22"/>
      <c r="C231" s="22"/>
      <c r="D231" s="30"/>
    </row>
    <row r="232">
      <c r="B232" s="22"/>
      <c r="C232" s="22"/>
      <c r="D232" s="30"/>
    </row>
    <row r="233">
      <c r="B233" s="22"/>
      <c r="C233" s="22"/>
      <c r="D233" s="30"/>
    </row>
    <row r="234">
      <c r="B234" s="22"/>
      <c r="C234" s="22"/>
      <c r="D234" s="30"/>
    </row>
    <row r="235">
      <c r="B235" s="22"/>
      <c r="C235" s="22"/>
      <c r="D235" s="30"/>
    </row>
    <row r="236">
      <c r="B236" s="22"/>
      <c r="C236" s="22"/>
      <c r="D236" s="30"/>
    </row>
    <row r="237">
      <c r="B237" s="22"/>
      <c r="C237" s="22"/>
      <c r="D237" s="30"/>
    </row>
    <row r="238">
      <c r="B238" s="22"/>
      <c r="C238" s="22"/>
      <c r="D238" s="30"/>
    </row>
    <row r="239">
      <c r="B239" s="22"/>
      <c r="C239" s="22"/>
      <c r="D239" s="30"/>
    </row>
    <row r="240">
      <c r="B240" s="22"/>
      <c r="C240" s="22"/>
      <c r="D240" s="30"/>
    </row>
    <row r="241">
      <c r="B241" s="22"/>
      <c r="C241" s="22"/>
      <c r="D241" s="30"/>
    </row>
    <row r="242">
      <c r="B242" s="22"/>
      <c r="C242" s="22"/>
      <c r="D242" s="30"/>
    </row>
    <row r="243">
      <c r="B243" s="22"/>
      <c r="C243" s="22"/>
      <c r="D243" s="30"/>
    </row>
    <row r="244">
      <c r="B244" s="22"/>
      <c r="C244" s="22"/>
      <c r="D244" s="30"/>
    </row>
    <row r="245">
      <c r="B245" s="22"/>
      <c r="C245" s="22"/>
      <c r="D245" s="30"/>
    </row>
    <row r="246">
      <c r="B246" s="22"/>
      <c r="C246" s="22"/>
      <c r="D246" s="30"/>
    </row>
    <row r="247">
      <c r="B247" s="22"/>
      <c r="C247" s="22"/>
      <c r="D247" s="30"/>
    </row>
    <row r="248">
      <c r="B248" s="22"/>
      <c r="C248" s="22"/>
      <c r="D248" s="30"/>
    </row>
    <row r="249">
      <c r="B249" s="22"/>
      <c r="C249" s="22"/>
      <c r="D249" s="30"/>
    </row>
    <row r="250">
      <c r="B250" s="22"/>
      <c r="C250" s="22"/>
      <c r="D250" s="30"/>
    </row>
    <row r="251">
      <c r="B251" s="22"/>
      <c r="C251" s="22"/>
      <c r="D251" s="30"/>
    </row>
    <row r="252">
      <c r="B252" s="22"/>
      <c r="C252" s="22"/>
      <c r="D252" s="30"/>
    </row>
    <row r="253">
      <c r="B253" s="22"/>
      <c r="C253" s="22"/>
      <c r="D253" s="30"/>
    </row>
    <row r="254">
      <c r="B254" s="22"/>
      <c r="C254" s="22"/>
      <c r="D254" s="30"/>
    </row>
    <row r="255">
      <c r="B255" s="22"/>
      <c r="C255" s="22"/>
      <c r="D255" s="30"/>
    </row>
    <row r="256">
      <c r="B256" s="22"/>
      <c r="C256" s="22"/>
      <c r="D256" s="30"/>
    </row>
    <row r="257">
      <c r="B257" s="22"/>
      <c r="C257" s="22"/>
      <c r="D257" s="30"/>
    </row>
    <row r="258">
      <c r="B258" s="22"/>
      <c r="C258" s="22"/>
      <c r="D258" s="30"/>
    </row>
    <row r="259">
      <c r="B259" s="22"/>
      <c r="C259" s="22"/>
      <c r="D259" s="30"/>
    </row>
    <row r="260">
      <c r="B260" s="22"/>
      <c r="C260" s="22"/>
      <c r="D260" s="30"/>
    </row>
    <row r="261">
      <c r="B261" s="22"/>
      <c r="C261" s="22"/>
      <c r="D261" s="30"/>
    </row>
    <row r="262">
      <c r="B262" s="22"/>
      <c r="C262" s="22"/>
      <c r="D262" s="30"/>
    </row>
    <row r="263">
      <c r="B263" s="22"/>
      <c r="C263" s="22"/>
      <c r="D263" s="30"/>
    </row>
    <row r="264">
      <c r="B264" s="22"/>
      <c r="C264" s="22"/>
      <c r="D264" s="30"/>
    </row>
    <row r="265">
      <c r="B265" s="22"/>
      <c r="C265" s="22"/>
      <c r="D265" s="30"/>
    </row>
    <row r="266">
      <c r="B266" s="22"/>
      <c r="C266" s="22"/>
      <c r="D266" s="30"/>
    </row>
    <row r="267">
      <c r="B267" s="22"/>
      <c r="C267" s="22"/>
      <c r="D267" s="30"/>
    </row>
    <row r="268">
      <c r="B268" s="22"/>
      <c r="C268" s="22"/>
      <c r="D268" s="30"/>
    </row>
    <row r="269">
      <c r="B269" s="22"/>
      <c r="C269" s="22"/>
      <c r="D269" s="30"/>
    </row>
    <row r="270">
      <c r="B270" s="22"/>
      <c r="C270" s="22"/>
      <c r="D270" s="30"/>
    </row>
    <row r="271">
      <c r="B271" s="22"/>
      <c r="C271" s="22"/>
      <c r="D271" s="30"/>
    </row>
    <row r="272">
      <c r="B272" s="22"/>
      <c r="C272" s="22"/>
      <c r="D272" s="30"/>
    </row>
    <row r="273">
      <c r="B273" s="22"/>
      <c r="C273" s="22"/>
      <c r="D273" s="30"/>
    </row>
    <row r="274">
      <c r="B274" s="22"/>
      <c r="C274" s="22"/>
      <c r="D274" s="30"/>
    </row>
    <row r="275">
      <c r="B275" s="22"/>
      <c r="C275" s="22"/>
      <c r="D275" s="30"/>
    </row>
    <row r="276">
      <c r="B276" s="22"/>
      <c r="C276" s="22"/>
      <c r="D276" s="30"/>
    </row>
    <row r="277">
      <c r="B277" s="22"/>
      <c r="C277" s="22"/>
      <c r="D277" s="30"/>
    </row>
    <row r="278">
      <c r="B278" s="22"/>
      <c r="C278" s="22"/>
      <c r="D278" s="30"/>
    </row>
    <row r="279">
      <c r="B279" s="22"/>
      <c r="C279" s="22"/>
      <c r="D279" s="30"/>
    </row>
    <row r="280">
      <c r="B280" s="22"/>
      <c r="C280" s="22"/>
      <c r="D280" s="30"/>
    </row>
    <row r="281">
      <c r="B281" s="22"/>
      <c r="C281" s="22"/>
      <c r="D281" s="30"/>
    </row>
    <row r="282">
      <c r="B282" s="22"/>
      <c r="C282" s="22"/>
      <c r="D282" s="30"/>
    </row>
    <row r="283">
      <c r="B283" s="22"/>
      <c r="C283" s="22"/>
      <c r="D283" s="30"/>
    </row>
    <row r="284">
      <c r="B284" s="22"/>
      <c r="C284" s="22"/>
      <c r="D284" s="30"/>
    </row>
    <row r="285">
      <c r="B285" s="22"/>
      <c r="C285" s="22"/>
      <c r="D285" s="30"/>
    </row>
    <row r="286">
      <c r="B286" s="22"/>
      <c r="C286" s="22"/>
      <c r="D286" s="30"/>
    </row>
    <row r="287">
      <c r="B287" s="22"/>
      <c r="C287" s="22"/>
      <c r="D287" s="30"/>
    </row>
    <row r="288">
      <c r="B288" s="22"/>
      <c r="C288" s="22"/>
      <c r="D288" s="30"/>
    </row>
    <row r="289">
      <c r="B289" s="22"/>
      <c r="C289" s="22"/>
      <c r="D289" s="30"/>
    </row>
    <row r="290">
      <c r="B290" s="22"/>
      <c r="C290" s="22"/>
      <c r="D290" s="30"/>
    </row>
    <row r="291">
      <c r="B291" s="22"/>
      <c r="C291" s="22"/>
      <c r="D291" s="30"/>
    </row>
    <row r="292">
      <c r="B292" s="22"/>
      <c r="C292" s="22"/>
      <c r="D292" s="30"/>
    </row>
    <row r="293">
      <c r="B293" s="22"/>
      <c r="C293" s="22"/>
      <c r="D293" s="30"/>
    </row>
    <row r="294">
      <c r="B294" s="22"/>
      <c r="C294" s="22"/>
      <c r="D294" s="30"/>
    </row>
    <row r="295">
      <c r="B295" s="22"/>
      <c r="C295" s="22"/>
      <c r="D295" s="30"/>
    </row>
    <row r="296">
      <c r="B296" s="22"/>
      <c r="C296" s="22"/>
      <c r="D296" s="30"/>
    </row>
    <row r="297">
      <c r="B297" s="22"/>
      <c r="C297" s="22"/>
      <c r="D297" s="30"/>
    </row>
    <row r="298">
      <c r="B298" s="22"/>
      <c r="C298" s="22"/>
      <c r="D298" s="30"/>
    </row>
    <row r="299">
      <c r="B299" s="22"/>
      <c r="C299" s="22"/>
      <c r="D299" s="30"/>
    </row>
    <row r="300">
      <c r="B300" s="22"/>
      <c r="C300" s="22"/>
      <c r="D300" s="30"/>
    </row>
    <row r="301">
      <c r="B301" s="22"/>
      <c r="C301" s="22"/>
      <c r="D301" s="30"/>
    </row>
    <row r="302">
      <c r="B302" s="22"/>
      <c r="C302" s="22"/>
      <c r="D302" s="30"/>
    </row>
    <row r="303">
      <c r="B303" s="22"/>
      <c r="C303" s="22"/>
      <c r="D303" s="30"/>
    </row>
    <row r="304">
      <c r="B304" s="22"/>
      <c r="C304" s="22"/>
      <c r="D304" s="30"/>
    </row>
    <row r="305">
      <c r="B305" s="22"/>
      <c r="C305" s="22"/>
      <c r="D305" s="30"/>
    </row>
    <row r="306">
      <c r="B306" s="22"/>
      <c r="C306" s="22"/>
      <c r="D306" s="30"/>
    </row>
    <row r="307">
      <c r="B307" s="22"/>
      <c r="C307" s="22"/>
      <c r="D307" s="30"/>
    </row>
    <row r="308">
      <c r="B308" s="22"/>
      <c r="C308" s="22"/>
      <c r="D308" s="30"/>
    </row>
    <row r="309">
      <c r="B309" s="22"/>
      <c r="C309" s="22"/>
      <c r="D309" s="30"/>
    </row>
    <row r="310">
      <c r="B310" s="22"/>
      <c r="C310" s="22"/>
      <c r="D310" s="30"/>
    </row>
    <row r="311">
      <c r="B311" s="22"/>
      <c r="C311" s="22"/>
      <c r="D311" s="30"/>
    </row>
    <row r="312">
      <c r="B312" s="22"/>
      <c r="C312" s="22"/>
      <c r="D312" s="30"/>
    </row>
    <row r="313">
      <c r="B313" s="22"/>
      <c r="C313" s="22"/>
      <c r="D313" s="30"/>
    </row>
    <row r="314">
      <c r="B314" s="22"/>
      <c r="C314" s="22"/>
      <c r="D314" s="30"/>
    </row>
    <row r="315">
      <c r="B315" s="22"/>
      <c r="C315" s="22"/>
      <c r="D315" s="30"/>
    </row>
    <row r="316">
      <c r="B316" s="22"/>
      <c r="C316" s="22"/>
      <c r="D316" s="30"/>
    </row>
    <row r="317">
      <c r="B317" s="22"/>
      <c r="C317" s="22"/>
      <c r="D317" s="30"/>
    </row>
    <row r="318">
      <c r="B318" s="22"/>
      <c r="C318" s="22"/>
      <c r="D318" s="30"/>
    </row>
    <row r="319">
      <c r="B319" s="22"/>
      <c r="C319" s="22"/>
      <c r="D319" s="30"/>
    </row>
    <row r="320">
      <c r="B320" s="22"/>
      <c r="C320" s="22"/>
      <c r="D320" s="30"/>
    </row>
    <row r="321">
      <c r="B321" s="22"/>
      <c r="C321" s="22"/>
      <c r="D321" s="30"/>
    </row>
    <row r="322">
      <c r="B322" s="22"/>
      <c r="C322" s="22"/>
      <c r="D322" s="30"/>
    </row>
    <row r="323">
      <c r="B323" s="22"/>
      <c r="C323" s="22"/>
      <c r="D323" s="30"/>
    </row>
    <row r="324">
      <c r="B324" s="22"/>
      <c r="C324" s="22"/>
      <c r="D324" s="30"/>
    </row>
    <row r="325">
      <c r="B325" s="22"/>
      <c r="C325" s="22"/>
      <c r="D325" s="30"/>
    </row>
    <row r="326">
      <c r="B326" s="22"/>
      <c r="C326" s="22"/>
      <c r="D326" s="30"/>
    </row>
    <row r="327">
      <c r="B327" s="22"/>
      <c r="C327" s="22"/>
      <c r="D327" s="30"/>
    </row>
    <row r="328">
      <c r="B328" s="22"/>
      <c r="C328" s="22"/>
      <c r="D328" s="30"/>
    </row>
    <row r="329">
      <c r="B329" s="22"/>
      <c r="C329" s="22"/>
      <c r="D329" s="30"/>
    </row>
    <row r="330">
      <c r="B330" s="22"/>
      <c r="C330" s="22"/>
      <c r="D330" s="30"/>
    </row>
    <row r="331">
      <c r="B331" s="22"/>
      <c r="C331" s="22"/>
      <c r="D331" s="30"/>
    </row>
    <row r="332">
      <c r="B332" s="22"/>
      <c r="C332" s="22"/>
      <c r="D332" s="30"/>
    </row>
    <row r="333">
      <c r="B333" s="22"/>
      <c r="C333" s="22"/>
      <c r="D333" s="30"/>
    </row>
    <row r="334">
      <c r="B334" s="22"/>
      <c r="C334" s="22"/>
      <c r="D334" s="30"/>
    </row>
    <row r="335">
      <c r="B335" s="22"/>
      <c r="C335" s="22"/>
      <c r="D335" s="30"/>
    </row>
    <row r="336">
      <c r="B336" s="22"/>
      <c r="C336" s="22"/>
      <c r="D336" s="30"/>
    </row>
    <row r="337">
      <c r="B337" s="22"/>
      <c r="C337" s="22"/>
      <c r="D337" s="30"/>
    </row>
    <row r="338">
      <c r="B338" s="22"/>
      <c r="C338" s="22"/>
      <c r="D338" s="30"/>
    </row>
    <row r="339">
      <c r="B339" s="22"/>
      <c r="C339" s="22"/>
      <c r="D339" s="30"/>
    </row>
    <row r="340">
      <c r="B340" s="22"/>
      <c r="C340" s="22"/>
      <c r="D340" s="30"/>
    </row>
    <row r="341">
      <c r="B341" s="22"/>
      <c r="C341" s="22"/>
      <c r="D341" s="30"/>
    </row>
    <row r="342">
      <c r="B342" s="22"/>
      <c r="C342" s="22"/>
      <c r="D342" s="30"/>
    </row>
    <row r="343">
      <c r="B343" s="22"/>
      <c r="C343" s="22"/>
      <c r="D343" s="30"/>
    </row>
    <row r="344">
      <c r="B344" s="22"/>
      <c r="C344" s="22"/>
      <c r="D344" s="30"/>
    </row>
    <row r="345">
      <c r="B345" s="22"/>
      <c r="C345" s="22"/>
      <c r="D345" s="30"/>
    </row>
    <row r="346">
      <c r="B346" s="22"/>
      <c r="C346" s="22"/>
      <c r="D346" s="30"/>
    </row>
    <row r="347">
      <c r="B347" s="22"/>
      <c r="C347" s="22"/>
      <c r="D347" s="30"/>
    </row>
    <row r="348">
      <c r="B348" s="22"/>
      <c r="C348" s="22"/>
      <c r="D348" s="30"/>
    </row>
    <row r="349">
      <c r="B349" s="22"/>
      <c r="C349" s="22"/>
      <c r="D349" s="30"/>
    </row>
    <row r="350">
      <c r="B350" s="22"/>
      <c r="C350" s="22"/>
      <c r="D350" s="30"/>
    </row>
    <row r="351">
      <c r="B351" s="22"/>
      <c r="C351" s="22"/>
      <c r="D351" s="30"/>
    </row>
    <row r="352">
      <c r="B352" s="22"/>
      <c r="C352" s="22"/>
      <c r="D352" s="30"/>
    </row>
    <row r="353">
      <c r="B353" s="22"/>
      <c r="C353" s="22"/>
      <c r="D353" s="30"/>
    </row>
    <row r="354">
      <c r="B354" s="22"/>
      <c r="C354" s="22"/>
      <c r="D354" s="30"/>
    </row>
    <row r="355">
      <c r="B355" s="22"/>
      <c r="C355" s="22"/>
      <c r="D355" s="30"/>
    </row>
    <row r="356">
      <c r="B356" s="22"/>
      <c r="C356" s="22"/>
      <c r="D356" s="30"/>
    </row>
    <row r="357">
      <c r="B357" s="22"/>
      <c r="C357" s="22"/>
      <c r="D357" s="30"/>
    </row>
    <row r="358">
      <c r="B358" s="22"/>
      <c r="C358" s="22"/>
      <c r="D358" s="30"/>
    </row>
    <row r="359">
      <c r="B359" s="22"/>
      <c r="C359" s="22"/>
      <c r="D359" s="30"/>
    </row>
    <row r="360">
      <c r="B360" s="22"/>
      <c r="C360" s="22"/>
      <c r="D360" s="30"/>
    </row>
    <row r="361">
      <c r="B361" s="22"/>
      <c r="C361" s="22"/>
      <c r="D361" s="30"/>
    </row>
    <row r="362">
      <c r="B362" s="22"/>
      <c r="C362" s="22"/>
      <c r="D362" s="30"/>
    </row>
    <row r="363">
      <c r="B363" s="22"/>
      <c r="C363" s="22"/>
      <c r="D363" s="30"/>
    </row>
    <row r="364">
      <c r="B364" s="22"/>
      <c r="C364" s="22"/>
      <c r="D364" s="30"/>
    </row>
    <row r="365">
      <c r="B365" s="22"/>
      <c r="C365" s="22"/>
      <c r="D365" s="30"/>
    </row>
    <row r="366">
      <c r="B366" s="22"/>
      <c r="C366" s="22"/>
      <c r="D366" s="30"/>
    </row>
    <row r="367">
      <c r="B367" s="22"/>
      <c r="C367" s="22"/>
      <c r="D367" s="30"/>
    </row>
    <row r="368">
      <c r="B368" s="22"/>
      <c r="C368" s="22"/>
      <c r="D368" s="30"/>
    </row>
    <row r="369">
      <c r="B369" s="22"/>
      <c r="C369" s="22"/>
      <c r="D369" s="30"/>
    </row>
    <row r="370">
      <c r="B370" s="22"/>
      <c r="C370" s="22"/>
      <c r="D370" s="30"/>
    </row>
    <row r="371">
      <c r="B371" s="22"/>
      <c r="C371" s="22"/>
      <c r="D371" s="30"/>
    </row>
    <row r="372">
      <c r="B372" s="22"/>
      <c r="C372" s="22"/>
      <c r="D372" s="30"/>
    </row>
    <row r="373">
      <c r="B373" s="22"/>
      <c r="C373" s="22"/>
      <c r="D373" s="30"/>
    </row>
    <row r="374">
      <c r="B374" s="22"/>
      <c r="C374" s="22"/>
      <c r="D374" s="30"/>
    </row>
    <row r="375">
      <c r="B375" s="22"/>
      <c r="C375" s="22"/>
      <c r="D375" s="30"/>
    </row>
    <row r="376">
      <c r="B376" s="22"/>
      <c r="C376" s="22"/>
      <c r="D376" s="30"/>
    </row>
    <row r="377">
      <c r="B377" s="22"/>
      <c r="C377" s="22"/>
      <c r="D377" s="30"/>
    </row>
    <row r="378">
      <c r="B378" s="22"/>
      <c r="C378" s="22"/>
      <c r="D378" s="30"/>
    </row>
    <row r="379">
      <c r="B379" s="22"/>
      <c r="C379" s="22"/>
      <c r="D379" s="30"/>
    </row>
    <row r="380">
      <c r="B380" s="22"/>
      <c r="C380" s="22"/>
      <c r="D380" s="30"/>
    </row>
    <row r="381">
      <c r="B381" s="22"/>
      <c r="C381" s="22"/>
      <c r="D381" s="30"/>
    </row>
    <row r="382">
      <c r="B382" s="22"/>
      <c r="C382" s="22"/>
      <c r="D382" s="30"/>
    </row>
    <row r="383">
      <c r="B383" s="22"/>
      <c r="C383" s="22"/>
      <c r="D383" s="30"/>
    </row>
    <row r="384">
      <c r="B384" s="22"/>
      <c r="C384" s="22"/>
      <c r="D384" s="30"/>
    </row>
    <row r="385">
      <c r="B385" s="22"/>
      <c r="C385" s="22"/>
      <c r="D385" s="30"/>
    </row>
    <row r="386">
      <c r="B386" s="22"/>
      <c r="C386" s="22"/>
      <c r="D386" s="30"/>
    </row>
    <row r="387">
      <c r="B387" s="22"/>
      <c r="C387" s="22"/>
      <c r="D387" s="30"/>
    </row>
    <row r="388">
      <c r="B388" s="22"/>
      <c r="C388" s="22"/>
      <c r="D388" s="30"/>
    </row>
    <row r="389">
      <c r="B389" s="22"/>
      <c r="C389" s="22"/>
      <c r="D389" s="30"/>
    </row>
    <row r="390">
      <c r="B390" s="22"/>
      <c r="C390" s="22"/>
      <c r="D390" s="30"/>
    </row>
    <row r="391">
      <c r="B391" s="22"/>
      <c r="C391" s="22"/>
      <c r="D391" s="30"/>
    </row>
    <row r="392">
      <c r="B392" s="22"/>
      <c r="C392" s="22"/>
      <c r="D392" s="30"/>
    </row>
    <row r="393">
      <c r="B393" s="22"/>
      <c r="C393" s="22"/>
      <c r="D393" s="30"/>
    </row>
    <row r="394">
      <c r="B394" s="22"/>
      <c r="C394" s="22"/>
      <c r="D394" s="30"/>
    </row>
    <row r="395">
      <c r="B395" s="22"/>
      <c r="C395" s="22"/>
      <c r="D395" s="30"/>
    </row>
    <row r="396">
      <c r="B396" s="22"/>
      <c r="C396" s="22"/>
      <c r="D396" s="30"/>
    </row>
    <row r="397">
      <c r="B397" s="22"/>
      <c r="C397" s="22"/>
      <c r="D397" s="30"/>
    </row>
    <row r="398">
      <c r="B398" s="22"/>
      <c r="C398" s="22"/>
      <c r="D398" s="30"/>
    </row>
    <row r="399">
      <c r="B399" s="22"/>
      <c r="C399" s="22"/>
      <c r="D399" s="30"/>
    </row>
    <row r="400">
      <c r="B400" s="22"/>
      <c r="C400" s="22"/>
      <c r="D400" s="30"/>
    </row>
    <row r="401">
      <c r="B401" s="22"/>
      <c r="C401" s="22"/>
      <c r="D401" s="30"/>
    </row>
    <row r="402">
      <c r="B402" s="22"/>
      <c r="C402" s="22"/>
      <c r="D402" s="30"/>
    </row>
    <row r="403">
      <c r="B403" s="22"/>
      <c r="C403" s="22"/>
      <c r="D403" s="30"/>
    </row>
    <row r="404">
      <c r="B404" s="22"/>
      <c r="C404" s="22"/>
      <c r="D404" s="30"/>
    </row>
    <row r="405">
      <c r="B405" s="22"/>
      <c r="C405" s="22"/>
      <c r="D405" s="30"/>
    </row>
    <row r="406">
      <c r="B406" s="22"/>
      <c r="C406" s="22"/>
      <c r="D406" s="30"/>
    </row>
    <row r="407">
      <c r="B407" s="22"/>
      <c r="C407" s="22"/>
      <c r="D407" s="30"/>
    </row>
    <row r="408">
      <c r="B408" s="22"/>
      <c r="C408" s="22"/>
      <c r="D408" s="30"/>
    </row>
    <row r="409">
      <c r="B409" s="22"/>
      <c r="C409" s="22"/>
      <c r="D409" s="30"/>
    </row>
    <row r="410">
      <c r="B410" s="22"/>
      <c r="C410" s="22"/>
      <c r="D410" s="30"/>
    </row>
    <row r="411">
      <c r="B411" s="22"/>
      <c r="C411" s="22"/>
      <c r="D411" s="30"/>
    </row>
    <row r="412">
      <c r="B412" s="22"/>
      <c r="C412" s="22"/>
      <c r="D412" s="30"/>
    </row>
    <row r="413">
      <c r="B413" s="22"/>
      <c r="C413" s="22"/>
      <c r="D413" s="30"/>
    </row>
    <row r="414">
      <c r="B414" s="22"/>
      <c r="C414" s="22"/>
      <c r="D414" s="30"/>
    </row>
    <row r="415">
      <c r="B415" s="22"/>
      <c r="C415" s="22"/>
      <c r="D415" s="30"/>
    </row>
    <row r="416">
      <c r="B416" s="22"/>
      <c r="C416" s="22"/>
      <c r="D416" s="30"/>
    </row>
    <row r="417">
      <c r="B417" s="22"/>
      <c r="C417" s="22"/>
      <c r="D417" s="30"/>
    </row>
    <row r="418">
      <c r="B418" s="22"/>
      <c r="C418" s="22"/>
      <c r="D418" s="30"/>
    </row>
    <row r="419">
      <c r="B419" s="22"/>
      <c r="C419" s="22"/>
      <c r="D419" s="30"/>
    </row>
    <row r="420">
      <c r="B420" s="22"/>
      <c r="C420" s="22"/>
      <c r="D420" s="30"/>
    </row>
    <row r="421">
      <c r="B421" s="22"/>
      <c r="C421" s="22"/>
      <c r="D421" s="30"/>
    </row>
    <row r="422">
      <c r="B422" s="22"/>
      <c r="C422" s="22"/>
      <c r="D422" s="30"/>
    </row>
    <row r="423">
      <c r="B423" s="22"/>
      <c r="C423" s="22"/>
      <c r="D423" s="30"/>
    </row>
    <row r="424">
      <c r="B424" s="22"/>
      <c r="C424" s="22"/>
      <c r="D424" s="30"/>
    </row>
    <row r="425">
      <c r="B425" s="22"/>
      <c r="C425" s="22"/>
      <c r="D425" s="30"/>
    </row>
    <row r="426">
      <c r="B426" s="22"/>
      <c r="C426" s="22"/>
      <c r="D426" s="30"/>
    </row>
    <row r="427">
      <c r="B427" s="22"/>
      <c r="C427" s="22"/>
      <c r="D427" s="30"/>
    </row>
    <row r="428">
      <c r="B428" s="22"/>
      <c r="C428" s="22"/>
      <c r="D428" s="30"/>
    </row>
    <row r="429">
      <c r="B429" s="22"/>
      <c r="C429" s="22"/>
      <c r="D429" s="30"/>
    </row>
    <row r="430">
      <c r="B430" s="22"/>
      <c r="C430" s="22"/>
      <c r="D430" s="30"/>
    </row>
    <row r="431">
      <c r="B431" s="22"/>
      <c r="C431" s="22"/>
      <c r="D431" s="30"/>
    </row>
    <row r="432">
      <c r="B432" s="22"/>
      <c r="C432" s="22"/>
      <c r="D432" s="30"/>
    </row>
    <row r="433">
      <c r="B433" s="22"/>
      <c r="C433" s="22"/>
      <c r="D433" s="30"/>
    </row>
    <row r="434">
      <c r="B434" s="22"/>
      <c r="C434" s="22"/>
      <c r="D434" s="30"/>
    </row>
    <row r="435">
      <c r="B435" s="22"/>
      <c r="C435" s="22"/>
      <c r="D435" s="30"/>
    </row>
    <row r="436">
      <c r="B436" s="22"/>
      <c r="C436" s="22"/>
      <c r="D436" s="30"/>
    </row>
    <row r="437">
      <c r="B437" s="22"/>
      <c r="C437" s="22"/>
      <c r="D437" s="30"/>
    </row>
    <row r="438">
      <c r="B438" s="22"/>
      <c r="C438" s="22"/>
      <c r="D438" s="30"/>
    </row>
    <row r="439">
      <c r="B439" s="22"/>
      <c r="C439" s="22"/>
      <c r="D439" s="30"/>
    </row>
    <row r="440">
      <c r="B440" s="22"/>
      <c r="C440" s="22"/>
      <c r="D440" s="30"/>
    </row>
    <row r="441">
      <c r="B441" s="22"/>
      <c r="C441" s="22"/>
      <c r="D441" s="30"/>
    </row>
    <row r="442">
      <c r="B442" s="22"/>
      <c r="C442" s="22"/>
      <c r="D442" s="30"/>
    </row>
    <row r="443">
      <c r="B443" s="22"/>
      <c r="C443" s="22"/>
      <c r="D443" s="30"/>
    </row>
    <row r="444">
      <c r="B444" s="22"/>
      <c r="C444" s="22"/>
      <c r="D444" s="30"/>
    </row>
    <row r="445">
      <c r="B445" s="22"/>
      <c r="C445" s="22"/>
      <c r="D445" s="30"/>
    </row>
    <row r="446">
      <c r="B446" s="22"/>
      <c r="C446" s="22"/>
      <c r="D446" s="30"/>
    </row>
    <row r="447">
      <c r="B447" s="22"/>
      <c r="C447" s="22"/>
      <c r="D447" s="30"/>
    </row>
    <row r="448">
      <c r="B448" s="22"/>
      <c r="C448" s="22"/>
      <c r="D448" s="30"/>
    </row>
    <row r="449">
      <c r="B449" s="22"/>
      <c r="C449" s="22"/>
      <c r="D449" s="30"/>
    </row>
    <row r="450">
      <c r="B450" s="22"/>
      <c r="C450" s="22"/>
      <c r="D450" s="30"/>
    </row>
    <row r="451">
      <c r="B451" s="22"/>
      <c r="C451" s="22"/>
      <c r="D451" s="30"/>
    </row>
    <row r="452">
      <c r="B452" s="22"/>
      <c r="C452" s="22"/>
      <c r="D452" s="30"/>
    </row>
    <row r="453">
      <c r="B453" s="22"/>
      <c r="C453" s="22"/>
      <c r="D453" s="30"/>
    </row>
    <row r="454">
      <c r="B454" s="22"/>
      <c r="C454" s="22"/>
      <c r="D454" s="30"/>
    </row>
    <row r="455">
      <c r="B455" s="22"/>
      <c r="C455" s="22"/>
      <c r="D455" s="30"/>
    </row>
    <row r="456">
      <c r="B456" s="22"/>
      <c r="C456" s="22"/>
      <c r="D456" s="30"/>
    </row>
    <row r="457">
      <c r="B457" s="22"/>
      <c r="C457" s="22"/>
      <c r="D457" s="30"/>
    </row>
    <row r="458">
      <c r="B458" s="22"/>
      <c r="C458" s="22"/>
      <c r="D458" s="30"/>
    </row>
    <row r="459">
      <c r="B459" s="22"/>
      <c r="C459" s="22"/>
      <c r="D459" s="30"/>
    </row>
    <row r="460">
      <c r="B460" s="22"/>
      <c r="C460" s="22"/>
      <c r="D460" s="30"/>
    </row>
    <row r="461">
      <c r="B461" s="22"/>
      <c r="C461" s="22"/>
      <c r="D461" s="30"/>
    </row>
    <row r="462">
      <c r="B462" s="22"/>
      <c r="C462" s="22"/>
      <c r="D462" s="30"/>
    </row>
    <row r="463">
      <c r="B463" s="22"/>
      <c r="C463" s="22"/>
      <c r="D463" s="30"/>
    </row>
    <row r="464">
      <c r="B464" s="22"/>
      <c r="C464" s="22"/>
      <c r="D464" s="30"/>
    </row>
    <row r="465">
      <c r="B465" s="22"/>
      <c r="C465" s="22"/>
      <c r="D465" s="30"/>
    </row>
    <row r="466">
      <c r="B466" s="22"/>
      <c r="C466" s="22"/>
      <c r="D466" s="30"/>
    </row>
    <row r="467">
      <c r="B467" s="22"/>
      <c r="C467" s="22"/>
      <c r="D467" s="30"/>
    </row>
    <row r="468">
      <c r="B468" s="22"/>
      <c r="C468" s="22"/>
      <c r="D468" s="30"/>
    </row>
    <row r="469">
      <c r="B469" s="22"/>
      <c r="C469" s="22"/>
      <c r="D469" s="30"/>
    </row>
    <row r="470">
      <c r="B470" s="22"/>
      <c r="C470" s="22"/>
      <c r="D470" s="30"/>
    </row>
    <row r="471">
      <c r="B471" s="22"/>
      <c r="C471" s="22"/>
      <c r="D471" s="30"/>
    </row>
    <row r="472">
      <c r="B472" s="22"/>
      <c r="C472" s="22"/>
      <c r="D472" s="30"/>
    </row>
    <row r="473">
      <c r="B473" s="22"/>
      <c r="C473" s="22"/>
      <c r="D473" s="30"/>
    </row>
    <row r="474">
      <c r="B474" s="22"/>
      <c r="C474" s="22"/>
      <c r="D474" s="30"/>
    </row>
    <row r="475">
      <c r="B475" s="22"/>
      <c r="C475" s="22"/>
      <c r="D475" s="30"/>
    </row>
    <row r="476">
      <c r="B476" s="22"/>
      <c r="C476" s="22"/>
      <c r="D476" s="30"/>
    </row>
    <row r="477">
      <c r="B477" s="22"/>
      <c r="C477" s="22"/>
      <c r="D477" s="30"/>
    </row>
    <row r="478">
      <c r="B478" s="22"/>
      <c r="C478" s="22"/>
      <c r="D478" s="30"/>
    </row>
    <row r="479">
      <c r="B479" s="22"/>
      <c r="C479" s="22"/>
      <c r="D479" s="30"/>
    </row>
    <row r="480">
      <c r="B480" s="22"/>
      <c r="C480" s="22"/>
      <c r="D480" s="30"/>
    </row>
    <row r="481">
      <c r="B481" s="22"/>
      <c r="C481" s="22"/>
      <c r="D481" s="30"/>
    </row>
    <row r="482">
      <c r="B482" s="22"/>
      <c r="C482" s="22"/>
      <c r="D482" s="30"/>
    </row>
    <row r="483">
      <c r="B483" s="22"/>
      <c r="C483" s="22"/>
      <c r="D483" s="30"/>
    </row>
    <row r="484">
      <c r="B484" s="22"/>
      <c r="C484" s="22"/>
      <c r="D484" s="30"/>
    </row>
    <row r="485">
      <c r="B485" s="22"/>
      <c r="C485" s="22"/>
      <c r="D485" s="30"/>
    </row>
    <row r="486">
      <c r="B486" s="22"/>
      <c r="C486" s="22"/>
      <c r="D486" s="30"/>
    </row>
    <row r="487">
      <c r="B487" s="22"/>
      <c r="C487" s="22"/>
      <c r="D487" s="30"/>
    </row>
    <row r="488">
      <c r="B488" s="22"/>
      <c r="C488" s="22"/>
      <c r="D488" s="30"/>
    </row>
    <row r="489">
      <c r="B489" s="22"/>
      <c r="C489" s="22"/>
      <c r="D489" s="30"/>
    </row>
    <row r="490">
      <c r="B490" s="22"/>
      <c r="C490" s="22"/>
      <c r="D490" s="30"/>
    </row>
    <row r="491">
      <c r="B491" s="22"/>
      <c r="C491" s="22"/>
      <c r="D491" s="30"/>
    </row>
    <row r="492">
      <c r="B492" s="22"/>
      <c r="C492" s="22"/>
      <c r="D492" s="30"/>
    </row>
    <row r="493">
      <c r="B493" s="22"/>
      <c r="C493" s="22"/>
      <c r="D493" s="30"/>
    </row>
    <row r="494">
      <c r="B494" s="22"/>
      <c r="C494" s="22"/>
      <c r="D494" s="30"/>
    </row>
    <row r="495">
      <c r="B495" s="22"/>
      <c r="C495" s="22"/>
      <c r="D495" s="30"/>
    </row>
    <row r="496">
      <c r="B496" s="22"/>
      <c r="C496" s="22"/>
      <c r="D496" s="30"/>
    </row>
    <row r="497">
      <c r="B497" s="22"/>
      <c r="C497" s="22"/>
      <c r="D497" s="30"/>
    </row>
    <row r="498">
      <c r="B498" s="22"/>
      <c r="C498" s="22"/>
      <c r="D498" s="30"/>
    </row>
    <row r="499">
      <c r="B499" s="22"/>
      <c r="C499" s="22"/>
      <c r="D499" s="30"/>
    </row>
    <row r="500">
      <c r="B500" s="22"/>
      <c r="C500" s="22"/>
      <c r="D500" s="30"/>
    </row>
    <row r="501">
      <c r="B501" s="22"/>
      <c r="C501" s="22"/>
      <c r="D501" s="30"/>
    </row>
    <row r="502">
      <c r="B502" s="22"/>
      <c r="C502" s="22"/>
      <c r="D502" s="30"/>
    </row>
    <row r="503">
      <c r="B503" s="22"/>
      <c r="C503" s="22"/>
      <c r="D503" s="30"/>
    </row>
    <row r="504">
      <c r="B504" s="22"/>
      <c r="C504" s="22"/>
      <c r="D504" s="30"/>
    </row>
    <row r="505">
      <c r="B505" s="22"/>
      <c r="C505" s="22"/>
      <c r="D505" s="30"/>
    </row>
    <row r="506">
      <c r="B506" s="22"/>
      <c r="C506" s="22"/>
      <c r="D506" s="30"/>
    </row>
    <row r="507">
      <c r="B507" s="22"/>
      <c r="C507" s="22"/>
      <c r="D507" s="30"/>
    </row>
    <row r="508">
      <c r="B508" s="22"/>
      <c r="C508" s="22"/>
      <c r="D508" s="30"/>
    </row>
    <row r="509">
      <c r="B509" s="22"/>
      <c r="C509" s="22"/>
      <c r="D509" s="30"/>
    </row>
    <row r="510">
      <c r="B510" s="22"/>
      <c r="C510" s="22"/>
      <c r="D510" s="30"/>
    </row>
    <row r="511">
      <c r="B511" s="22"/>
      <c r="C511" s="22"/>
      <c r="D511" s="30"/>
    </row>
    <row r="512">
      <c r="B512" s="22"/>
      <c r="C512" s="22"/>
      <c r="D512" s="30"/>
    </row>
    <row r="513">
      <c r="B513" s="22"/>
      <c r="C513" s="22"/>
      <c r="D513" s="30"/>
    </row>
    <row r="514">
      <c r="B514" s="22"/>
      <c r="C514" s="22"/>
      <c r="D514" s="30"/>
    </row>
    <row r="515">
      <c r="B515" s="22"/>
      <c r="C515" s="22"/>
      <c r="D515" s="30"/>
    </row>
    <row r="516">
      <c r="B516" s="22"/>
      <c r="C516" s="22"/>
      <c r="D516" s="30"/>
    </row>
    <row r="517">
      <c r="B517" s="22"/>
      <c r="C517" s="22"/>
      <c r="D517" s="30"/>
    </row>
    <row r="518">
      <c r="B518" s="22"/>
      <c r="C518" s="22"/>
      <c r="D518" s="30"/>
    </row>
    <row r="519">
      <c r="B519" s="22"/>
      <c r="C519" s="22"/>
      <c r="D519" s="30"/>
    </row>
    <row r="520">
      <c r="B520" s="22"/>
      <c r="C520" s="22"/>
      <c r="D520" s="30"/>
    </row>
    <row r="521">
      <c r="B521" s="22"/>
      <c r="C521" s="22"/>
      <c r="D521" s="30"/>
    </row>
    <row r="522">
      <c r="B522" s="22"/>
      <c r="C522" s="22"/>
      <c r="D522" s="30"/>
    </row>
    <row r="523">
      <c r="B523" s="22"/>
      <c r="C523" s="22"/>
      <c r="D523" s="30"/>
    </row>
    <row r="524">
      <c r="B524" s="22"/>
      <c r="C524" s="22"/>
      <c r="D524" s="30"/>
    </row>
    <row r="525">
      <c r="B525" s="22"/>
      <c r="C525" s="22"/>
      <c r="D525" s="30"/>
    </row>
    <row r="526">
      <c r="B526" s="22"/>
      <c r="C526" s="22"/>
      <c r="D526" s="30"/>
    </row>
    <row r="527">
      <c r="B527" s="22"/>
      <c r="C527" s="22"/>
      <c r="D527" s="30"/>
    </row>
    <row r="528">
      <c r="B528" s="22"/>
      <c r="C528" s="22"/>
      <c r="D528" s="30"/>
    </row>
    <row r="529">
      <c r="B529" s="22"/>
      <c r="C529" s="22"/>
      <c r="D529" s="30"/>
    </row>
    <row r="530">
      <c r="B530" s="22"/>
      <c r="C530" s="22"/>
      <c r="D530" s="30"/>
    </row>
    <row r="531">
      <c r="B531" s="22"/>
      <c r="C531" s="22"/>
      <c r="D531" s="30"/>
    </row>
    <row r="532">
      <c r="B532" s="22"/>
      <c r="C532" s="22"/>
      <c r="D532" s="30"/>
    </row>
    <row r="533">
      <c r="B533" s="22"/>
      <c r="C533" s="22"/>
      <c r="D533" s="30"/>
    </row>
    <row r="534">
      <c r="B534" s="22"/>
      <c r="C534" s="22"/>
      <c r="D534" s="30"/>
    </row>
    <row r="535">
      <c r="B535" s="22"/>
      <c r="C535" s="22"/>
      <c r="D535" s="30"/>
    </row>
    <row r="536">
      <c r="B536" s="22"/>
      <c r="C536" s="22"/>
      <c r="D536" s="30"/>
    </row>
    <row r="537">
      <c r="B537" s="22"/>
      <c r="C537" s="22"/>
      <c r="D537" s="30"/>
    </row>
    <row r="538">
      <c r="B538" s="22"/>
      <c r="C538" s="22"/>
      <c r="D538" s="30"/>
    </row>
    <row r="539">
      <c r="B539" s="22"/>
      <c r="C539" s="22"/>
      <c r="D539" s="30"/>
    </row>
    <row r="540">
      <c r="B540" s="22"/>
      <c r="C540" s="22"/>
      <c r="D540" s="30"/>
    </row>
    <row r="541">
      <c r="B541" s="22"/>
      <c r="C541" s="22"/>
      <c r="D541" s="30"/>
    </row>
    <row r="542">
      <c r="B542" s="22"/>
      <c r="C542" s="22"/>
      <c r="D542" s="30"/>
    </row>
    <row r="543">
      <c r="B543" s="22"/>
      <c r="C543" s="22"/>
      <c r="D543" s="30"/>
    </row>
    <row r="544">
      <c r="B544" s="22"/>
      <c r="C544" s="22"/>
      <c r="D544" s="30"/>
    </row>
    <row r="545">
      <c r="B545" s="22"/>
      <c r="C545" s="22"/>
      <c r="D545" s="30"/>
    </row>
    <row r="546">
      <c r="B546" s="22"/>
      <c r="C546" s="22"/>
      <c r="D546" s="30"/>
    </row>
    <row r="547">
      <c r="B547" s="22"/>
      <c r="C547" s="22"/>
      <c r="D547" s="30"/>
    </row>
    <row r="548">
      <c r="B548" s="22"/>
      <c r="C548" s="22"/>
      <c r="D548" s="30"/>
    </row>
    <row r="549">
      <c r="B549" s="22"/>
      <c r="C549" s="22"/>
      <c r="D549" s="30"/>
    </row>
    <row r="550">
      <c r="B550" s="22"/>
      <c r="C550" s="22"/>
      <c r="D550" s="30"/>
    </row>
    <row r="551">
      <c r="B551" s="22"/>
      <c r="C551" s="22"/>
      <c r="D551" s="30"/>
    </row>
    <row r="552">
      <c r="B552" s="22"/>
      <c r="C552" s="22"/>
      <c r="D552" s="30"/>
    </row>
    <row r="553">
      <c r="B553" s="22"/>
      <c r="C553" s="22"/>
      <c r="D553" s="30"/>
    </row>
    <row r="554">
      <c r="B554" s="22"/>
      <c r="C554" s="22"/>
      <c r="D554" s="30"/>
    </row>
    <row r="555">
      <c r="B555" s="22"/>
      <c r="C555" s="22"/>
      <c r="D555" s="30"/>
    </row>
    <row r="556">
      <c r="B556" s="22"/>
      <c r="C556" s="22"/>
      <c r="D556" s="30"/>
    </row>
    <row r="557">
      <c r="B557" s="22"/>
      <c r="C557" s="22"/>
      <c r="D557" s="30"/>
    </row>
    <row r="558">
      <c r="B558" s="22"/>
      <c r="C558" s="22"/>
      <c r="D558" s="30"/>
    </row>
    <row r="559">
      <c r="B559" s="22"/>
      <c r="C559" s="22"/>
      <c r="D559" s="30"/>
    </row>
    <row r="560">
      <c r="B560" s="22"/>
      <c r="C560" s="22"/>
      <c r="D560" s="30"/>
    </row>
    <row r="561">
      <c r="B561" s="22"/>
      <c r="C561" s="22"/>
      <c r="D561" s="30"/>
    </row>
    <row r="562">
      <c r="B562" s="22"/>
      <c r="C562" s="22"/>
      <c r="D562" s="30"/>
    </row>
    <row r="563">
      <c r="B563" s="22"/>
      <c r="C563" s="22"/>
      <c r="D563" s="30"/>
    </row>
    <row r="564">
      <c r="B564" s="22"/>
      <c r="C564" s="22"/>
      <c r="D564" s="30"/>
    </row>
    <row r="565">
      <c r="B565" s="22"/>
      <c r="C565" s="22"/>
      <c r="D565" s="30"/>
    </row>
    <row r="566">
      <c r="B566" s="22"/>
      <c r="C566" s="22"/>
      <c r="D566" s="30"/>
    </row>
    <row r="567">
      <c r="B567" s="22"/>
      <c r="C567" s="22"/>
      <c r="D567" s="30"/>
    </row>
    <row r="568">
      <c r="B568" s="22"/>
      <c r="C568" s="22"/>
      <c r="D568" s="30"/>
    </row>
    <row r="569">
      <c r="B569" s="22"/>
      <c r="C569" s="22"/>
      <c r="D569" s="30"/>
    </row>
    <row r="570">
      <c r="B570" s="22"/>
      <c r="C570" s="22"/>
      <c r="D570" s="30"/>
    </row>
    <row r="571">
      <c r="B571" s="22"/>
      <c r="C571" s="22"/>
      <c r="D571" s="30"/>
    </row>
    <row r="572">
      <c r="B572" s="22"/>
      <c r="C572" s="22"/>
      <c r="D572" s="30"/>
    </row>
    <row r="573">
      <c r="B573" s="22"/>
      <c r="C573" s="22"/>
      <c r="D573" s="30"/>
    </row>
    <row r="574">
      <c r="B574" s="22"/>
      <c r="C574" s="22"/>
      <c r="D574" s="30"/>
    </row>
    <row r="575">
      <c r="B575" s="22"/>
      <c r="C575" s="22"/>
      <c r="D575" s="30"/>
    </row>
    <row r="576">
      <c r="B576" s="22"/>
      <c r="C576" s="22"/>
      <c r="D576" s="30"/>
    </row>
    <row r="577">
      <c r="B577" s="22"/>
      <c r="C577" s="22"/>
      <c r="D577" s="30"/>
    </row>
    <row r="578">
      <c r="B578" s="22"/>
      <c r="C578" s="22"/>
      <c r="D578" s="30"/>
    </row>
    <row r="579">
      <c r="B579" s="22"/>
      <c r="C579" s="22"/>
      <c r="D579" s="30"/>
    </row>
    <row r="580">
      <c r="B580" s="22"/>
      <c r="C580" s="22"/>
      <c r="D580" s="30"/>
    </row>
    <row r="581">
      <c r="B581" s="22"/>
      <c r="C581" s="22"/>
      <c r="D581" s="30"/>
    </row>
    <row r="582">
      <c r="B582" s="22"/>
      <c r="C582" s="22"/>
      <c r="D582" s="30"/>
    </row>
    <row r="583">
      <c r="B583" s="22"/>
      <c r="C583" s="22"/>
      <c r="D583" s="30"/>
    </row>
    <row r="584">
      <c r="B584" s="22"/>
      <c r="C584" s="22"/>
      <c r="D584" s="30"/>
    </row>
    <row r="585">
      <c r="B585" s="22"/>
      <c r="C585" s="22"/>
      <c r="D585" s="30"/>
    </row>
    <row r="586">
      <c r="B586" s="22"/>
      <c r="C586" s="22"/>
      <c r="D586" s="30"/>
    </row>
    <row r="587">
      <c r="B587" s="22"/>
      <c r="C587" s="22"/>
      <c r="D587" s="30"/>
    </row>
    <row r="588">
      <c r="B588" s="22"/>
      <c r="C588" s="22"/>
      <c r="D588" s="30"/>
    </row>
    <row r="589">
      <c r="B589" s="22"/>
      <c r="C589" s="22"/>
      <c r="D589" s="30"/>
    </row>
    <row r="590">
      <c r="B590" s="22"/>
      <c r="C590" s="22"/>
      <c r="D590" s="30"/>
    </row>
    <row r="591">
      <c r="B591" s="22"/>
      <c r="C591" s="22"/>
      <c r="D591" s="30"/>
    </row>
    <row r="592">
      <c r="B592" s="22"/>
      <c r="C592" s="22"/>
      <c r="D592" s="30"/>
    </row>
    <row r="593">
      <c r="B593" s="22"/>
      <c r="C593" s="22"/>
      <c r="D593" s="30"/>
    </row>
    <row r="594">
      <c r="B594" s="22"/>
      <c r="C594" s="22"/>
      <c r="D594" s="30"/>
    </row>
    <row r="595">
      <c r="B595" s="22"/>
      <c r="C595" s="22"/>
      <c r="D595" s="30"/>
    </row>
    <row r="596">
      <c r="B596" s="22"/>
      <c r="C596" s="22"/>
      <c r="D596" s="30"/>
    </row>
    <row r="597">
      <c r="B597" s="22"/>
      <c r="C597" s="22"/>
      <c r="D597" s="30"/>
    </row>
    <row r="598">
      <c r="B598" s="22"/>
      <c r="C598" s="22"/>
      <c r="D598" s="30"/>
    </row>
    <row r="599">
      <c r="B599" s="22"/>
      <c r="C599" s="22"/>
      <c r="D599" s="30"/>
    </row>
    <row r="600">
      <c r="B600" s="22"/>
      <c r="C600" s="22"/>
      <c r="D600" s="30"/>
    </row>
    <row r="601">
      <c r="B601" s="22"/>
      <c r="C601" s="22"/>
      <c r="D601" s="30"/>
    </row>
    <row r="602">
      <c r="B602" s="22"/>
      <c r="C602" s="22"/>
      <c r="D602" s="30"/>
    </row>
    <row r="603">
      <c r="B603" s="22"/>
      <c r="C603" s="22"/>
      <c r="D603" s="30"/>
    </row>
    <row r="604">
      <c r="B604" s="22"/>
      <c r="C604" s="22"/>
      <c r="D604" s="30"/>
    </row>
    <row r="605">
      <c r="B605" s="22"/>
      <c r="C605" s="22"/>
      <c r="D605" s="30"/>
    </row>
    <row r="606">
      <c r="B606" s="22"/>
      <c r="C606" s="22"/>
      <c r="D606" s="30"/>
    </row>
    <row r="607">
      <c r="B607" s="22"/>
      <c r="C607" s="22"/>
      <c r="D607" s="30"/>
    </row>
    <row r="608">
      <c r="B608" s="22"/>
      <c r="C608" s="22"/>
      <c r="D608" s="30"/>
    </row>
    <row r="609">
      <c r="B609" s="22"/>
      <c r="C609" s="22"/>
      <c r="D609" s="30"/>
    </row>
    <row r="610">
      <c r="B610" s="22"/>
      <c r="C610" s="22"/>
      <c r="D610" s="30"/>
    </row>
    <row r="611">
      <c r="B611" s="22"/>
      <c r="C611" s="22"/>
      <c r="D611" s="30"/>
    </row>
    <row r="612">
      <c r="B612" s="22"/>
      <c r="C612" s="22"/>
      <c r="D612" s="30"/>
    </row>
    <row r="613">
      <c r="B613" s="22"/>
      <c r="C613" s="22"/>
      <c r="D613" s="30"/>
    </row>
    <row r="614">
      <c r="B614" s="22"/>
      <c r="C614" s="22"/>
      <c r="D614" s="30"/>
    </row>
    <row r="615">
      <c r="B615" s="22"/>
      <c r="C615" s="22"/>
      <c r="D615" s="30"/>
    </row>
    <row r="616">
      <c r="B616" s="22"/>
      <c r="C616" s="22"/>
      <c r="D616" s="30"/>
    </row>
    <row r="617">
      <c r="B617" s="22"/>
      <c r="C617" s="22"/>
      <c r="D617" s="30"/>
    </row>
    <row r="618">
      <c r="B618" s="22"/>
      <c r="C618" s="22"/>
      <c r="D618" s="30"/>
    </row>
    <row r="619">
      <c r="B619" s="22"/>
      <c r="C619" s="22"/>
      <c r="D619" s="30"/>
    </row>
    <row r="620">
      <c r="B620" s="22"/>
      <c r="C620" s="22"/>
      <c r="D620" s="30"/>
    </row>
    <row r="621">
      <c r="B621" s="22"/>
      <c r="C621" s="22"/>
      <c r="D621" s="30"/>
    </row>
    <row r="622">
      <c r="B622" s="22"/>
      <c r="C622" s="22"/>
      <c r="D622" s="30"/>
    </row>
    <row r="623">
      <c r="B623" s="22"/>
      <c r="C623" s="22"/>
      <c r="D623" s="30"/>
    </row>
    <row r="624">
      <c r="B624" s="22"/>
      <c r="C624" s="22"/>
      <c r="D624" s="30"/>
    </row>
    <row r="625">
      <c r="B625" s="22"/>
      <c r="C625" s="22"/>
      <c r="D625" s="30"/>
    </row>
    <row r="626">
      <c r="B626" s="22"/>
      <c r="C626" s="22"/>
      <c r="D626" s="30"/>
    </row>
    <row r="627">
      <c r="B627" s="22"/>
      <c r="C627" s="22"/>
      <c r="D627" s="30"/>
    </row>
    <row r="628">
      <c r="B628" s="22"/>
      <c r="C628" s="22"/>
      <c r="D628" s="30"/>
    </row>
    <row r="629">
      <c r="B629" s="22"/>
      <c r="C629" s="22"/>
      <c r="D629" s="30"/>
    </row>
    <row r="630">
      <c r="B630" s="22"/>
      <c r="C630" s="22"/>
      <c r="D630" s="30"/>
    </row>
    <row r="631">
      <c r="B631" s="22"/>
      <c r="C631" s="22"/>
      <c r="D631" s="30"/>
    </row>
    <row r="632">
      <c r="B632" s="22"/>
      <c r="C632" s="22"/>
      <c r="D632" s="30"/>
    </row>
    <row r="633">
      <c r="B633" s="22"/>
      <c r="C633" s="22"/>
      <c r="D633" s="30"/>
    </row>
    <row r="634">
      <c r="B634" s="22"/>
      <c r="C634" s="22"/>
      <c r="D634" s="30"/>
    </row>
    <row r="635">
      <c r="B635" s="22"/>
      <c r="C635" s="22"/>
      <c r="D635" s="30"/>
    </row>
    <row r="636">
      <c r="B636" s="22"/>
      <c r="C636" s="22"/>
      <c r="D636" s="30"/>
    </row>
    <row r="637">
      <c r="B637" s="22"/>
      <c r="C637" s="22"/>
      <c r="D637" s="30"/>
    </row>
    <row r="638">
      <c r="B638" s="22"/>
      <c r="C638" s="22"/>
      <c r="D638" s="30"/>
    </row>
    <row r="639">
      <c r="B639" s="22"/>
      <c r="C639" s="22"/>
      <c r="D639" s="30"/>
    </row>
    <row r="640">
      <c r="B640" s="22"/>
      <c r="C640" s="22"/>
      <c r="D640" s="30"/>
    </row>
    <row r="641">
      <c r="B641" s="22"/>
      <c r="C641" s="22"/>
      <c r="D641" s="30"/>
    </row>
    <row r="642">
      <c r="B642" s="22"/>
      <c r="C642" s="22"/>
      <c r="D642" s="30"/>
    </row>
    <row r="643">
      <c r="B643" s="22"/>
      <c r="C643" s="22"/>
      <c r="D643" s="30"/>
    </row>
    <row r="644">
      <c r="B644" s="22"/>
      <c r="C644" s="22"/>
      <c r="D644" s="30"/>
    </row>
    <row r="645">
      <c r="B645" s="22"/>
      <c r="C645" s="22"/>
      <c r="D645" s="30"/>
    </row>
    <row r="646">
      <c r="B646" s="22"/>
      <c r="C646" s="22"/>
      <c r="D646" s="30"/>
    </row>
    <row r="647">
      <c r="B647" s="22"/>
      <c r="C647" s="22"/>
      <c r="D647" s="30"/>
    </row>
    <row r="648">
      <c r="B648" s="22"/>
      <c r="C648" s="22"/>
      <c r="D648" s="30"/>
    </row>
    <row r="649">
      <c r="B649" s="22"/>
      <c r="C649" s="22"/>
      <c r="D649" s="30"/>
    </row>
    <row r="650">
      <c r="B650" s="22"/>
      <c r="C650" s="22"/>
      <c r="D650" s="30"/>
    </row>
    <row r="651">
      <c r="B651" s="22"/>
      <c r="C651" s="22"/>
      <c r="D651" s="30"/>
    </row>
    <row r="652">
      <c r="B652" s="22"/>
      <c r="C652" s="22"/>
      <c r="D652" s="30"/>
    </row>
    <row r="653">
      <c r="B653" s="22"/>
      <c r="C653" s="22"/>
      <c r="D653" s="30"/>
    </row>
    <row r="654">
      <c r="B654" s="22"/>
      <c r="C654" s="22"/>
      <c r="D654" s="30"/>
    </row>
    <row r="655">
      <c r="B655" s="22"/>
      <c r="C655" s="22"/>
      <c r="D655" s="30"/>
    </row>
    <row r="656">
      <c r="B656" s="22"/>
      <c r="C656" s="22"/>
      <c r="D656" s="30"/>
    </row>
    <row r="657">
      <c r="B657" s="22"/>
      <c r="C657" s="22"/>
      <c r="D657" s="30"/>
    </row>
    <row r="658">
      <c r="B658" s="22"/>
      <c r="C658" s="22"/>
      <c r="D658" s="30"/>
    </row>
    <row r="659">
      <c r="B659" s="22"/>
      <c r="C659" s="22"/>
      <c r="D659" s="30"/>
    </row>
    <row r="660">
      <c r="B660" s="22"/>
      <c r="C660" s="22"/>
      <c r="D660" s="30"/>
    </row>
    <row r="661">
      <c r="B661" s="22"/>
      <c r="C661" s="22"/>
      <c r="D661" s="30"/>
    </row>
    <row r="662">
      <c r="B662" s="22"/>
      <c r="C662" s="22"/>
      <c r="D662" s="30"/>
    </row>
    <row r="663">
      <c r="B663" s="22"/>
      <c r="C663" s="22"/>
      <c r="D663" s="30"/>
    </row>
    <row r="664">
      <c r="B664" s="22"/>
      <c r="C664" s="22"/>
      <c r="D664" s="30"/>
    </row>
    <row r="665">
      <c r="B665" s="22"/>
      <c r="C665" s="22"/>
      <c r="D665" s="30"/>
    </row>
    <row r="666">
      <c r="B666" s="22"/>
      <c r="C666" s="22"/>
      <c r="D666" s="30"/>
    </row>
    <row r="667">
      <c r="B667" s="22"/>
      <c r="C667" s="22"/>
      <c r="D667" s="30"/>
    </row>
    <row r="668">
      <c r="B668" s="22"/>
      <c r="C668" s="22"/>
      <c r="D668" s="30"/>
    </row>
    <row r="669">
      <c r="B669" s="22"/>
      <c r="C669" s="22"/>
      <c r="D669" s="30"/>
    </row>
    <row r="670">
      <c r="B670" s="22"/>
      <c r="C670" s="22"/>
      <c r="D670" s="30"/>
    </row>
    <row r="671">
      <c r="B671" s="22"/>
      <c r="C671" s="22"/>
      <c r="D671" s="30"/>
    </row>
    <row r="672">
      <c r="B672" s="22"/>
      <c r="C672" s="22"/>
      <c r="D672" s="30"/>
    </row>
    <row r="673">
      <c r="B673" s="22"/>
      <c r="C673" s="22"/>
      <c r="D673" s="30"/>
    </row>
    <row r="674">
      <c r="B674" s="22"/>
      <c r="C674" s="22"/>
      <c r="D674" s="30"/>
    </row>
    <row r="675">
      <c r="B675" s="22"/>
      <c r="C675" s="22"/>
      <c r="D675" s="30"/>
    </row>
    <row r="676">
      <c r="B676" s="22"/>
      <c r="C676" s="22"/>
      <c r="D676" s="30"/>
    </row>
    <row r="677">
      <c r="B677" s="22"/>
      <c r="C677" s="22"/>
      <c r="D677" s="30"/>
    </row>
    <row r="678">
      <c r="B678" s="22"/>
      <c r="C678" s="22"/>
      <c r="D678" s="30"/>
    </row>
    <row r="679">
      <c r="B679" s="22"/>
      <c r="C679" s="22"/>
      <c r="D679" s="30"/>
    </row>
    <row r="680">
      <c r="B680" s="22"/>
      <c r="C680" s="22"/>
      <c r="D680" s="30"/>
    </row>
    <row r="681">
      <c r="B681" s="22"/>
      <c r="C681" s="22"/>
      <c r="D681" s="30"/>
    </row>
    <row r="682">
      <c r="B682" s="22"/>
      <c r="C682" s="22"/>
      <c r="D682" s="30"/>
    </row>
    <row r="683">
      <c r="B683" s="22"/>
      <c r="C683" s="22"/>
      <c r="D683" s="30"/>
    </row>
    <row r="684">
      <c r="B684" s="22"/>
      <c r="C684" s="22"/>
      <c r="D684" s="30"/>
    </row>
    <row r="685">
      <c r="B685" s="22"/>
      <c r="C685" s="22"/>
      <c r="D685" s="30"/>
    </row>
    <row r="686">
      <c r="B686" s="22"/>
      <c r="C686" s="22"/>
      <c r="D686" s="30"/>
    </row>
    <row r="687">
      <c r="B687" s="22"/>
      <c r="C687" s="22"/>
      <c r="D687" s="30"/>
    </row>
    <row r="688">
      <c r="B688" s="22"/>
      <c r="C688" s="22"/>
      <c r="D688" s="30"/>
    </row>
    <row r="689">
      <c r="B689" s="22"/>
      <c r="C689" s="22"/>
      <c r="D689" s="30"/>
    </row>
    <row r="690">
      <c r="B690" s="22"/>
      <c r="C690" s="22"/>
      <c r="D690" s="30"/>
    </row>
    <row r="691">
      <c r="B691" s="22"/>
      <c r="C691" s="22"/>
      <c r="D691" s="30"/>
    </row>
    <row r="692">
      <c r="B692" s="22"/>
      <c r="C692" s="22"/>
      <c r="D692" s="30"/>
    </row>
    <row r="693">
      <c r="B693" s="22"/>
      <c r="C693" s="22"/>
      <c r="D693" s="30"/>
    </row>
    <row r="694">
      <c r="B694" s="22"/>
      <c r="C694" s="22"/>
      <c r="D694" s="30"/>
    </row>
    <row r="695">
      <c r="B695" s="22"/>
      <c r="C695" s="22"/>
      <c r="D695" s="30"/>
    </row>
    <row r="696">
      <c r="B696" s="22"/>
      <c r="C696" s="22"/>
      <c r="D696" s="30"/>
    </row>
    <row r="697">
      <c r="B697" s="22"/>
      <c r="C697" s="22"/>
      <c r="D697" s="30"/>
    </row>
    <row r="698">
      <c r="B698" s="22"/>
      <c r="C698" s="22"/>
      <c r="D698" s="30"/>
    </row>
    <row r="699">
      <c r="B699" s="22"/>
      <c r="C699" s="22"/>
      <c r="D699" s="30"/>
    </row>
    <row r="700">
      <c r="B700" s="22"/>
      <c r="C700" s="22"/>
      <c r="D700" s="30"/>
    </row>
    <row r="701">
      <c r="B701" s="22"/>
      <c r="C701" s="22"/>
      <c r="D701" s="30"/>
    </row>
    <row r="702">
      <c r="B702" s="22"/>
      <c r="C702" s="22"/>
      <c r="D702" s="30"/>
    </row>
    <row r="703">
      <c r="B703" s="22"/>
      <c r="C703" s="22"/>
      <c r="D703" s="30"/>
    </row>
    <row r="704">
      <c r="B704" s="22"/>
      <c r="C704" s="22"/>
      <c r="D704" s="30"/>
    </row>
    <row r="705">
      <c r="B705" s="22"/>
      <c r="C705" s="22"/>
      <c r="D705" s="30"/>
    </row>
    <row r="706">
      <c r="B706" s="22"/>
      <c r="C706" s="22"/>
      <c r="D706" s="30"/>
    </row>
    <row r="707">
      <c r="B707" s="22"/>
      <c r="C707" s="22"/>
      <c r="D707" s="30"/>
    </row>
    <row r="708">
      <c r="B708" s="22"/>
      <c r="C708" s="22"/>
      <c r="D708" s="30"/>
    </row>
    <row r="709">
      <c r="B709" s="22"/>
      <c r="C709" s="22"/>
      <c r="D709" s="30"/>
    </row>
    <row r="710">
      <c r="B710" s="22"/>
      <c r="C710" s="22"/>
      <c r="D710" s="30"/>
    </row>
    <row r="711">
      <c r="B711" s="22"/>
      <c r="C711" s="22"/>
      <c r="D711" s="30"/>
    </row>
    <row r="712">
      <c r="B712" s="22"/>
      <c r="C712" s="22"/>
      <c r="D712" s="30"/>
    </row>
    <row r="713">
      <c r="B713" s="22"/>
      <c r="C713" s="22"/>
      <c r="D713" s="30"/>
    </row>
    <row r="714">
      <c r="B714" s="22"/>
      <c r="C714" s="22"/>
      <c r="D714" s="30"/>
    </row>
    <row r="715">
      <c r="B715" s="22"/>
      <c r="C715" s="22"/>
      <c r="D715" s="30"/>
    </row>
    <row r="716">
      <c r="B716" s="22"/>
      <c r="C716" s="22"/>
      <c r="D716" s="30"/>
    </row>
    <row r="717">
      <c r="B717" s="22"/>
      <c r="C717" s="22"/>
      <c r="D717" s="30"/>
    </row>
    <row r="718">
      <c r="B718" s="22"/>
      <c r="C718" s="22"/>
      <c r="D718" s="30"/>
    </row>
    <row r="719">
      <c r="B719" s="22"/>
      <c r="C719" s="22"/>
      <c r="D719" s="30"/>
    </row>
    <row r="720">
      <c r="B720" s="22"/>
      <c r="C720" s="22"/>
      <c r="D720" s="30"/>
    </row>
    <row r="721">
      <c r="B721" s="22"/>
      <c r="C721" s="22"/>
      <c r="D721" s="30"/>
    </row>
    <row r="722">
      <c r="B722" s="22"/>
      <c r="C722" s="22"/>
      <c r="D722" s="30"/>
    </row>
    <row r="723">
      <c r="B723" s="22"/>
      <c r="C723" s="22"/>
      <c r="D723" s="30"/>
    </row>
    <row r="724">
      <c r="B724" s="22"/>
      <c r="C724" s="22"/>
      <c r="D724" s="30"/>
    </row>
    <row r="725">
      <c r="B725" s="22"/>
      <c r="C725" s="22"/>
      <c r="D725" s="30"/>
    </row>
    <row r="726">
      <c r="B726" s="22"/>
      <c r="C726" s="22"/>
      <c r="D726" s="30"/>
    </row>
    <row r="727">
      <c r="B727" s="22"/>
      <c r="C727" s="22"/>
      <c r="D727" s="30"/>
    </row>
    <row r="728">
      <c r="B728" s="22"/>
      <c r="C728" s="22"/>
      <c r="D728" s="30"/>
    </row>
    <row r="729">
      <c r="B729" s="22"/>
      <c r="C729" s="22"/>
      <c r="D729" s="30"/>
    </row>
    <row r="730">
      <c r="B730" s="22"/>
      <c r="C730" s="22"/>
      <c r="D730" s="30"/>
    </row>
    <row r="731">
      <c r="B731" s="22"/>
      <c r="C731" s="22"/>
      <c r="D731" s="30"/>
    </row>
    <row r="732">
      <c r="B732" s="22"/>
      <c r="C732" s="22"/>
      <c r="D732" s="30"/>
    </row>
    <row r="733">
      <c r="B733" s="22"/>
      <c r="C733" s="22"/>
      <c r="D733" s="30"/>
    </row>
    <row r="734">
      <c r="B734" s="22"/>
      <c r="C734" s="22"/>
      <c r="D734" s="30"/>
    </row>
    <row r="735">
      <c r="B735" s="22"/>
      <c r="C735" s="22"/>
      <c r="D735" s="30"/>
    </row>
    <row r="736">
      <c r="B736" s="22"/>
      <c r="C736" s="22"/>
      <c r="D736" s="30"/>
    </row>
    <row r="737">
      <c r="B737" s="22"/>
      <c r="C737" s="22"/>
      <c r="D737" s="30"/>
    </row>
    <row r="738">
      <c r="B738" s="22"/>
      <c r="C738" s="22"/>
      <c r="D738" s="30"/>
    </row>
    <row r="739">
      <c r="B739" s="22"/>
      <c r="C739" s="22"/>
      <c r="D739" s="30"/>
    </row>
    <row r="740">
      <c r="B740" s="22"/>
      <c r="C740" s="22"/>
      <c r="D740" s="30"/>
    </row>
    <row r="741">
      <c r="B741" s="22"/>
      <c r="C741" s="22"/>
      <c r="D741" s="30"/>
    </row>
    <row r="742">
      <c r="B742" s="22"/>
      <c r="C742" s="22"/>
      <c r="D742" s="30"/>
    </row>
    <row r="743">
      <c r="B743" s="22"/>
      <c r="C743" s="22"/>
      <c r="D743" s="30"/>
    </row>
    <row r="744">
      <c r="B744" s="22"/>
      <c r="C744" s="22"/>
      <c r="D744" s="30"/>
    </row>
    <row r="745">
      <c r="B745" s="22"/>
      <c r="C745" s="22"/>
      <c r="D745" s="30"/>
    </row>
    <row r="746">
      <c r="B746" s="22"/>
      <c r="C746" s="22"/>
      <c r="D746" s="30"/>
    </row>
    <row r="747">
      <c r="B747" s="22"/>
      <c r="C747" s="22"/>
      <c r="D747" s="30"/>
    </row>
    <row r="748">
      <c r="B748" s="22"/>
      <c r="C748" s="22"/>
      <c r="D748" s="30"/>
    </row>
    <row r="749">
      <c r="B749" s="22"/>
      <c r="C749" s="22"/>
      <c r="D749" s="30"/>
    </row>
    <row r="750">
      <c r="B750" s="22"/>
      <c r="C750" s="22"/>
      <c r="D750" s="30"/>
    </row>
    <row r="751">
      <c r="B751" s="22"/>
      <c r="C751" s="22"/>
      <c r="D751" s="30"/>
    </row>
    <row r="752">
      <c r="B752" s="22"/>
      <c r="C752" s="22"/>
      <c r="D752" s="30"/>
    </row>
    <row r="753">
      <c r="B753" s="22"/>
      <c r="C753" s="22"/>
      <c r="D753" s="30"/>
    </row>
    <row r="754">
      <c r="B754" s="22"/>
      <c r="C754" s="22"/>
      <c r="D754" s="30"/>
    </row>
    <row r="755">
      <c r="B755" s="22"/>
      <c r="C755" s="22"/>
      <c r="D755" s="30"/>
    </row>
    <row r="756">
      <c r="B756" s="22"/>
      <c r="C756" s="22"/>
      <c r="D756" s="30"/>
    </row>
    <row r="757">
      <c r="B757" s="22"/>
      <c r="C757" s="22"/>
      <c r="D757" s="30"/>
    </row>
    <row r="758">
      <c r="B758" s="22"/>
      <c r="C758" s="22"/>
      <c r="D758" s="30"/>
    </row>
    <row r="759">
      <c r="B759" s="22"/>
      <c r="C759" s="22"/>
      <c r="D759" s="30"/>
    </row>
    <row r="760">
      <c r="B760" s="22"/>
      <c r="C760" s="22"/>
      <c r="D760" s="30"/>
    </row>
    <row r="761">
      <c r="B761" s="22"/>
      <c r="C761" s="22"/>
      <c r="D761" s="30"/>
    </row>
    <row r="762">
      <c r="B762" s="22"/>
      <c r="C762" s="22"/>
      <c r="D762" s="30"/>
    </row>
    <row r="763">
      <c r="B763" s="22"/>
      <c r="C763" s="22"/>
      <c r="D763" s="30"/>
    </row>
    <row r="764">
      <c r="B764" s="22"/>
      <c r="C764" s="22"/>
      <c r="D764" s="30"/>
    </row>
    <row r="765">
      <c r="B765" s="22"/>
      <c r="C765" s="22"/>
      <c r="D765" s="30"/>
    </row>
    <row r="766">
      <c r="B766" s="22"/>
      <c r="C766" s="22"/>
      <c r="D766" s="30"/>
    </row>
    <row r="767">
      <c r="B767" s="22"/>
      <c r="C767" s="22"/>
      <c r="D767" s="30"/>
    </row>
    <row r="768">
      <c r="B768" s="22"/>
      <c r="C768" s="22"/>
      <c r="D768" s="30"/>
    </row>
    <row r="769">
      <c r="B769" s="22"/>
      <c r="C769" s="22"/>
      <c r="D769" s="30"/>
    </row>
    <row r="770">
      <c r="B770" s="22"/>
      <c r="C770" s="22"/>
      <c r="D770" s="30"/>
    </row>
    <row r="771">
      <c r="B771" s="22"/>
      <c r="C771" s="22"/>
      <c r="D771" s="30"/>
    </row>
    <row r="772">
      <c r="B772" s="22"/>
      <c r="C772" s="22"/>
      <c r="D772" s="30"/>
    </row>
    <row r="773">
      <c r="B773" s="22"/>
      <c r="C773" s="22"/>
      <c r="D773" s="30"/>
    </row>
    <row r="774">
      <c r="B774" s="22"/>
      <c r="C774" s="22"/>
      <c r="D774" s="30"/>
    </row>
    <row r="775">
      <c r="B775" s="22"/>
      <c r="C775" s="22"/>
      <c r="D775" s="30"/>
    </row>
    <row r="776">
      <c r="B776" s="22"/>
      <c r="C776" s="22"/>
      <c r="D776" s="30"/>
    </row>
    <row r="777">
      <c r="B777" s="22"/>
      <c r="C777" s="22"/>
      <c r="D777" s="30"/>
    </row>
    <row r="778">
      <c r="B778" s="22"/>
      <c r="C778" s="22"/>
      <c r="D778" s="30"/>
    </row>
    <row r="779">
      <c r="B779" s="22"/>
      <c r="C779" s="22"/>
      <c r="D779" s="30"/>
    </row>
    <row r="780">
      <c r="B780" s="22"/>
      <c r="C780" s="22"/>
      <c r="D780" s="30"/>
    </row>
    <row r="781">
      <c r="B781" s="22"/>
      <c r="C781" s="22"/>
      <c r="D781" s="30"/>
    </row>
    <row r="782">
      <c r="B782" s="22"/>
      <c r="C782" s="22"/>
      <c r="D782" s="30"/>
    </row>
    <row r="783">
      <c r="B783" s="22"/>
      <c r="C783" s="22"/>
      <c r="D783" s="30"/>
    </row>
    <row r="784">
      <c r="B784" s="22"/>
      <c r="C784" s="22"/>
      <c r="D784" s="30"/>
    </row>
    <row r="785">
      <c r="B785" s="22"/>
      <c r="C785" s="22"/>
      <c r="D785" s="30"/>
    </row>
    <row r="786">
      <c r="B786" s="22"/>
      <c r="C786" s="22"/>
      <c r="D786" s="30"/>
    </row>
    <row r="787">
      <c r="B787" s="22"/>
      <c r="C787" s="22"/>
      <c r="D787" s="30"/>
    </row>
    <row r="788">
      <c r="B788" s="22"/>
      <c r="C788" s="22"/>
      <c r="D788" s="30"/>
    </row>
    <row r="789">
      <c r="B789" s="22"/>
      <c r="C789" s="22"/>
      <c r="D789" s="30"/>
    </row>
    <row r="790">
      <c r="B790" s="22"/>
      <c r="C790" s="22"/>
      <c r="D790" s="30"/>
    </row>
    <row r="791">
      <c r="B791" s="22"/>
      <c r="C791" s="22"/>
      <c r="D791" s="30"/>
    </row>
    <row r="792">
      <c r="B792" s="22"/>
      <c r="C792" s="22"/>
      <c r="D792" s="30"/>
    </row>
    <row r="793">
      <c r="B793" s="22"/>
      <c r="C793" s="22"/>
      <c r="D793" s="30"/>
    </row>
    <row r="794">
      <c r="B794" s="22"/>
      <c r="C794" s="22"/>
      <c r="D794" s="30"/>
    </row>
    <row r="795">
      <c r="B795" s="22"/>
      <c r="C795" s="22"/>
      <c r="D795" s="30"/>
    </row>
    <row r="796">
      <c r="B796" s="22"/>
      <c r="C796" s="22"/>
      <c r="D796" s="30"/>
    </row>
    <row r="797">
      <c r="B797" s="22"/>
      <c r="C797" s="22"/>
      <c r="D797" s="30"/>
    </row>
    <row r="798">
      <c r="B798" s="22"/>
      <c r="C798" s="22"/>
      <c r="D798" s="30"/>
    </row>
    <row r="799">
      <c r="B799" s="22"/>
      <c r="C799" s="22"/>
      <c r="D799" s="30"/>
    </row>
    <row r="800">
      <c r="B800" s="22"/>
      <c r="C800" s="22"/>
      <c r="D800" s="30"/>
    </row>
    <row r="801">
      <c r="B801" s="22"/>
      <c r="C801" s="22"/>
      <c r="D801" s="30"/>
    </row>
    <row r="802">
      <c r="B802" s="22"/>
      <c r="C802" s="22"/>
      <c r="D802" s="30"/>
    </row>
    <row r="803">
      <c r="B803" s="22"/>
      <c r="C803" s="22"/>
      <c r="D803" s="30"/>
    </row>
    <row r="804">
      <c r="B804" s="22"/>
      <c r="C804" s="22"/>
      <c r="D804" s="30"/>
    </row>
    <row r="805">
      <c r="B805" s="22"/>
      <c r="C805" s="22"/>
      <c r="D805" s="30"/>
    </row>
    <row r="806">
      <c r="B806" s="22"/>
      <c r="C806" s="22"/>
      <c r="D806" s="30"/>
    </row>
    <row r="807">
      <c r="B807" s="22"/>
      <c r="C807" s="22"/>
      <c r="D807" s="30"/>
    </row>
    <row r="808">
      <c r="B808" s="22"/>
      <c r="C808" s="22"/>
      <c r="D808" s="30"/>
    </row>
    <row r="809">
      <c r="B809" s="22"/>
      <c r="C809" s="22"/>
      <c r="D809" s="30"/>
    </row>
    <row r="810">
      <c r="B810" s="22"/>
      <c r="C810" s="22"/>
      <c r="D810" s="30"/>
    </row>
    <row r="811">
      <c r="B811" s="22"/>
      <c r="C811" s="22"/>
      <c r="D811" s="30"/>
    </row>
    <row r="812">
      <c r="B812" s="22"/>
      <c r="C812" s="22"/>
      <c r="D812" s="30"/>
    </row>
    <row r="813">
      <c r="B813" s="22"/>
      <c r="C813" s="22"/>
      <c r="D813" s="30"/>
    </row>
    <row r="814">
      <c r="B814" s="22"/>
      <c r="C814" s="22"/>
      <c r="D814" s="30"/>
    </row>
    <row r="815">
      <c r="B815" s="22"/>
      <c r="C815" s="22"/>
      <c r="D815" s="30"/>
    </row>
    <row r="816">
      <c r="B816" s="22"/>
      <c r="C816" s="22"/>
      <c r="D816" s="30"/>
    </row>
    <row r="817">
      <c r="B817" s="22"/>
      <c r="C817" s="22"/>
      <c r="D817" s="30"/>
    </row>
    <row r="818">
      <c r="B818" s="22"/>
      <c r="C818" s="22"/>
      <c r="D818" s="30"/>
    </row>
    <row r="819">
      <c r="B819" s="22"/>
      <c r="C819" s="22"/>
      <c r="D819" s="30"/>
    </row>
    <row r="820">
      <c r="B820" s="22"/>
      <c r="C820" s="22"/>
      <c r="D820" s="30"/>
    </row>
    <row r="821">
      <c r="B821" s="22"/>
      <c r="C821" s="22"/>
      <c r="D821" s="30"/>
    </row>
    <row r="822">
      <c r="B822" s="22"/>
      <c r="C822" s="22"/>
      <c r="D822" s="30"/>
    </row>
    <row r="823">
      <c r="B823" s="22"/>
      <c r="C823" s="22"/>
      <c r="D823" s="30"/>
    </row>
    <row r="824">
      <c r="B824" s="22"/>
      <c r="C824" s="22"/>
      <c r="D824" s="30"/>
    </row>
    <row r="825">
      <c r="B825" s="22"/>
      <c r="C825" s="22"/>
      <c r="D825" s="30"/>
    </row>
    <row r="826">
      <c r="B826" s="22"/>
      <c r="C826" s="22"/>
      <c r="D826" s="30"/>
    </row>
    <row r="827">
      <c r="B827" s="22"/>
      <c r="C827" s="22"/>
      <c r="D827" s="30"/>
    </row>
    <row r="828">
      <c r="B828" s="22"/>
      <c r="C828" s="22"/>
      <c r="D828" s="30"/>
    </row>
    <row r="829">
      <c r="B829" s="22"/>
      <c r="C829" s="22"/>
      <c r="D829" s="30"/>
    </row>
    <row r="830">
      <c r="B830" s="22"/>
      <c r="C830" s="22"/>
      <c r="D830" s="30"/>
    </row>
    <row r="831">
      <c r="B831" s="22"/>
      <c r="C831" s="22"/>
      <c r="D831" s="30"/>
    </row>
    <row r="832">
      <c r="B832" s="22"/>
      <c r="C832" s="22"/>
      <c r="D832" s="30"/>
    </row>
    <row r="833">
      <c r="B833" s="22"/>
      <c r="C833" s="22"/>
      <c r="D833" s="30"/>
    </row>
    <row r="834">
      <c r="B834" s="22"/>
      <c r="C834" s="22"/>
      <c r="D834" s="30"/>
    </row>
    <row r="835">
      <c r="B835" s="22"/>
      <c r="C835" s="22"/>
      <c r="D835" s="30"/>
    </row>
    <row r="836">
      <c r="B836" s="22"/>
      <c r="C836" s="22"/>
      <c r="D836" s="30"/>
    </row>
    <row r="837">
      <c r="B837" s="22"/>
      <c r="C837" s="22"/>
      <c r="D837" s="30"/>
    </row>
    <row r="838">
      <c r="B838" s="22"/>
      <c r="C838" s="22"/>
      <c r="D838" s="30"/>
    </row>
    <row r="839">
      <c r="B839" s="22"/>
      <c r="C839" s="22"/>
      <c r="D839" s="30"/>
    </row>
    <row r="840">
      <c r="B840" s="22"/>
      <c r="C840" s="22"/>
      <c r="D840" s="30"/>
    </row>
    <row r="841">
      <c r="B841" s="22"/>
      <c r="C841" s="22"/>
      <c r="D841" s="30"/>
    </row>
    <row r="842">
      <c r="B842" s="22"/>
      <c r="C842" s="22"/>
      <c r="D842" s="30"/>
    </row>
    <row r="843">
      <c r="B843" s="22"/>
      <c r="C843" s="22"/>
      <c r="D843" s="30"/>
    </row>
    <row r="844">
      <c r="B844" s="22"/>
      <c r="C844" s="22"/>
      <c r="D844" s="30"/>
    </row>
    <row r="845">
      <c r="B845" s="22"/>
      <c r="C845" s="22"/>
      <c r="D845" s="30"/>
    </row>
    <row r="846">
      <c r="B846" s="22"/>
      <c r="C846" s="22"/>
      <c r="D846" s="30"/>
    </row>
    <row r="847">
      <c r="B847" s="22"/>
      <c r="C847" s="22"/>
      <c r="D847" s="30"/>
    </row>
    <row r="848">
      <c r="B848" s="22"/>
      <c r="C848" s="22"/>
      <c r="D848" s="30"/>
    </row>
    <row r="849">
      <c r="B849" s="22"/>
      <c r="C849" s="22"/>
      <c r="D849" s="30"/>
    </row>
    <row r="850">
      <c r="B850" s="22"/>
      <c r="C850" s="22"/>
      <c r="D850" s="30"/>
    </row>
    <row r="851">
      <c r="B851" s="22"/>
      <c r="C851" s="22"/>
      <c r="D851" s="30"/>
    </row>
    <row r="852">
      <c r="B852" s="22"/>
      <c r="C852" s="22"/>
      <c r="D852" s="30"/>
    </row>
    <row r="853">
      <c r="B853" s="22"/>
      <c r="C853" s="22"/>
      <c r="D853" s="30"/>
    </row>
    <row r="854">
      <c r="B854" s="22"/>
      <c r="C854" s="22"/>
      <c r="D854" s="30"/>
    </row>
    <row r="855">
      <c r="B855" s="22"/>
      <c r="C855" s="22"/>
      <c r="D855" s="30"/>
    </row>
    <row r="856">
      <c r="B856" s="22"/>
      <c r="C856" s="22"/>
      <c r="D856" s="30"/>
    </row>
    <row r="857">
      <c r="B857" s="22"/>
      <c r="C857" s="22"/>
      <c r="D857" s="30"/>
    </row>
    <row r="858">
      <c r="B858" s="22"/>
      <c r="C858" s="22"/>
      <c r="D858" s="30"/>
    </row>
    <row r="859">
      <c r="B859" s="22"/>
      <c r="C859" s="22"/>
      <c r="D859" s="30"/>
    </row>
    <row r="860">
      <c r="B860" s="22"/>
      <c r="C860" s="22"/>
      <c r="D860" s="30"/>
    </row>
    <row r="861">
      <c r="B861" s="22"/>
      <c r="C861" s="22"/>
      <c r="D861" s="30"/>
    </row>
    <row r="862">
      <c r="B862" s="22"/>
      <c r="C862" s="22"/>
      <c r="D862" s="30"/>
    </row>
    <row r="863">
      <c r="B863" s="22"/>
      <c r="C863" s="22"/>
      <c r="D863" s="30"/>
    </row>
    <row r="864">
      <c r="B864" s="22"/>
      <c r="C864" s="22"/>
      <c r="D864" s="30"/>
    </row>
    <row r="865">
      <c r="B865" s="22"/>
      <c r="C865" s="22"/>
      <c r="D865" s="30"/>
    </row>
    <row r="866">
      <c r="B866" s="22"/>
      <c r="C866" s="22"/>
      <c r="D866" s="30"/>
    </row>
    <row r="867">
      <c r="B867" s="22"/>
      <c r="C867" s="22"/>
      <c r="D867" s="30"/>
    </row>
    <row r="868">
      <c r="B868" s="22"/>
      <c r="C868" s="22"/>
      <c r="D868" s="30"/>
    </row>
    <row r="869">
      <c r="B869" s="22"/>
      <c r="C869" s="22"/>
      <c r="D869" s="30"/>
    </row>
    <row r="870">
      <c r="B870" s="22"/>
      <c r="C870" s="22"/>
      <c r="D870" s="30"/>
    </row>
    <row r="871">
      <c r="B871" s="22"/>
      <c r="C871" s="22"/>
      <c r="D871" s="30"/>
    </row>
    <row r="872">
      <c r="B872" s="22"/>
      <c r="C872" s="22"/>
      <c r="D872" s="30"/>
    </row>
    <row r="873">
      <c r="B873" s="22"/>
      <c r="C873" s="22"/>
      <c r="D873" s="30"/>
    </row>
    <row r="874">
      <c r="B874" s="22"/>
      <c r="C874" s="22"/>
      <c r="D874" s="30"/>
    </row>
    <row r="875">
      <c r="B875" s="22"/>
      <c r="C875" s="22"/>
      <c r="D875" s="30"/>
    </row>
    <row r="876">
      <c r="B876" s="22"/>
      <c r="C876" s="22"/>
      <c r="D876" s="30"/>
    </row>
    <row r="877">
      <c r="B877" s="22"/>
      <c r="C877" s="22"/>
      <c r="D877" s="30"/>
    </row>
    <row r="878">
      <c r="B878" s="22"/>
      <c r="C878" s="22"/>
      <c r="D878" s="30"/>
    </row>
    <row r="879">
      <c r="B879" s="22"/>
      <c r="C879" s="22"/>
      <c r="D879" s="30"/>
    </row>
    <row r="880">
      <c r="B880" s="22"/>
      <c r="C880" s="22"/>
      <c r="D880" s="30"/>
    </row>
    <row r="881">
      <c r="B881" s="22"/>
      <c r="C881" s="22"/>
      <c r="D881" s="30"/>
    </row>
    <row r="882">
      <c r="B882" s="22"/>
      <c r="C882" s="22"/>
      <c r="D882" s="30"/>
    </row>
    <row r="883">
      <c r="B883" s="22"/>
      <c r="C883" s="22"/>
      <c r="D883" s="30"/>
    </row>
    <row r="884">
      <c r="B884" s="22"/>
      <c r="C884" s="22"/>
      <c r="D884" s="30"/>
    </row>
    <row r="885">
      <c r="B885" s="22"/>
      <c r="C885" s="22"/>
      <c r="D885" s="30"/>
    </row>
    <row r="886">
      <c r="B886" s="22"/>
      <c r="C886" s="22"/>
      <c r="D886" s="30"/>
    </row>
    <row r="887">
      <c r="B887" s="22"/>
      <c r="C887" s="22"/>
      <c r="D887" s="30"/>
    </row>
    <row r="888">
      <c r="B888" s="22"/>
      <c r="C888" s="22"/>
      <c r="D888" s="30"/>
    </row>
    <row r="889">
      <c r="B889" s="22"/>
      <c r="C889" s="22"/>
      <c r="D889" s="30"/>
    </row>
    <row r="890">
      <c r="B890" s="22"/>
      <c r="C890" s="22"/>
      <c r="D890" s="30"/>
    </row>
    <row r="891">
      <c r="B891" s="22"/>
      <c r="C891" s="22"/>
      <c r="D891" s="30"/>
    </row>
    <row r="892">
      <c r="B892" s="22"/>
      <c r="C892" s="22"/>
      <c r="D892" s="30"/>
    </row>
    <row r="893">
      <c r="B893" s="22"/>
      <c r="C893" s="22"/>
      <c r="D893" s="30"/>
    </row>
    <row r="894">
      <c r="B894" s="22"/>
      <c r="C894" s="22"/>
      <c r="D894" s="30"/>
    </row>
    <row r="895">
      <c r="B895" s="22"/>
      <c r="C895" s="22"/>
      <c r="D895" s="30"/>
    </row>
    <row r="896">
      <c r="B896" s="22"/>
      <c r="C896" s="22"/>
      <c r="D896" s="30"/>
    </row>
    <row r="897">
      <c r="B897" s="22"/>
      <c r="C897" s="22"/>
      <c r="D897" s="30"/>
    </row>
    <row r="898">
      <c r="B898" s="22"/>
      <c r="C898" s="22"/>
      <c r="D898" s="30"/>
    </row>
    <row r="899">
      <c r="B899" s="22"/>
      <c r="C899" s="22"/>
      <c r="D899" s="30"/>
    </row>
    <row r="900">
      <c r="B900" s="22"/>
      <c r="C900" s="22"/>
      <c r="D900" s="30"/>
    </row>
    <row r="901">
      <c r="B901" s="22"/>
      <c r="C901" s="22"/>
      <c r="D901" s="30"/>
    </row>
    <row r="902">
      <c r="B902" s="22"/>
      <c r="C902" s="22"/>
      <c r="D902" s="30"/>
    </row>
    <row r="903">
      <c r="B903" s="22"/>
      <c r="C903" s="22"/>
      <c r="D903" s="30"/>
    </row>
    <row r="904">
      <c r="B904" s="22"/>
      <c r="C904" s="22"/>
      <c r="D904" s="30"/>
    </row>
    <row r="905">
      <c r="B905" s="22"/>
      <c r="C905" s="22"/>
      <c r="D905" s="30"/>
    </row>
    <row r="906">
      <c r="B906" s="22"/>
      <c r="C906" s="22"/>
      <c r="D906" s="30"/>
    </row>
    <row r="907">
      <c r="B907" s="22"/>
      <c r="C907" s="22"/>
      <c r="D907" s="30"/>
    </row>
    <row r="908">
      <c r="B908" s="22"/>
      <c r="C908" s="22"/>
      <c r="D908" s="30"/>
    </row>
    <row r="909">
      <c r="B909" s="22"/>
      <c r="C909" s="22"/>
      <c r="D909" s="30"/>
    </row>
    <row r="910">
      <c r="B910" s="22"/>
      <c r="C910" s="22"/>
      <c r="D910" s="30"/>
    </row>
    <row r="911">
      <c r="B911" s="22"/>
      <c r="C911" s="22"/>
      <c r="D911" s="30"/>
    </row>
    <row r="912">
      <c r="B912" s="22"/>
      <c r="C912" s="22"/>
      <c r="D912" s="30"/>
    </row>
    <row r="913">
      <c r="B913" s="22"/>
      <c r="C913" s="22"/>
      <c r="D913" s="30"/>
    </row>
    <row r="914">
      <c r="B914" s="22"/>
      <c r="C914" s="22"/>
      <c r="D914" s="30"/>
    </row>
    <row r="915">
      <c r="B915" s="22"/>
      <c r="C915" s="22"/>
      <c r="D915" s="30"/>
    </row>
    <row r="916">
      <c r="B916" s="22"/>
      <c r="C916" s="22"/>
      <c r="D916" s="30"/>
    </row>
    <row r="917">
      <c r="B917" s="22"/>
      <c r="C917" s="22"/>
      <c r="D917" s="30"/>
    </row>
    <row r="918">
      <c r="B918" s="22"/>
      <c r="C918" s="22"/>
      <c r="D918" s="30"/>
    </row>
    <row r="919">
      <c r="B919" s="22"/>
      <c r="C919" s="22"/>
      <c r="D919" s="30"/>
    </row>
    <row r="920">
      <c r="B920" s="22"/>
      <c r="C920" s="22"/>
      <c r="D920" s="30"/>
    </row>
    <row r="921">
      <c r="B921" s="22"/>
      <c r="C921" s="22"/>
      <c r="D921" s="30"/>
    </row>
    <row r="922">
      <c r="B922" s="22"/>
      <c r="C922" s="22"/>
      <c r="D922" s="30"/>
    </row>
    <row r="923">
      <c r="B923" s="22"/>
      <c r="C923" s="22"/>
      <c r="D923" s="30"/>
    </row>
    <row r="924">
      <c r="B924" s="22"/>
      <c r="C924" s="22"/>
      <c r="D924" s="30"/>
    </row>
    <row r="925">
      <c r="B925" s="22"/>
      <c r="C925" s="22"/>
      <c r="D925" s="30"/>
    </row>
    <row r="926">
      <c r="B926" s="22"/>
      <c r="C926" s="22"/>
      <c r="D926" s="30"/>
    </row>
    <row r="927">
      <c r="B927" s="22"/>
      <c r="C927" s="22"/>
      <c r="D927" s="30"/>
    </row>
    <row r="928">
      <c r="B928" s="22"/>
      <c r="C928" s="22"/>
      <c r="D928" s="30"/>
    </row>
    <row r="929">
      <c r="B929" s="22"/>
      <c r="C929" s="22"/>
      <c r="D929" s="30"/>
    </row>
    <row r="930">
      <c r="B930" s="22"/>
      <c r="C930" s="22"/>
      <c r="D930" s="30"/>
    </row>
    <row r="931">
      <c r="B931" s="22"/>
      <c r="C931" s="22"/>
      <c r="D931" s="30"/>
    </row>
    <row r="932">
      <c r="B932" s="22"/>
      <c r="C932" s="22"/>
      <c r="D932" s="30"/>
    </row>
    <row r="933">
      <c r="B933" s="22"/>
      <c r="C933" s="22"/>
      <c r="D933" s="30"/>
    </row>
    <row r="934">
      <c r="B934" s="22"/>
      <c r="C934" s="22"/>
      <c r="D934" s="30"/>
    </row>
    <row r="935">
      <c r="B935" s="22"/>
      <c r="C935" s="22"/>
      <c r="D935" s="30"/>
    </row>
    <row r="936">
      <c r="B936" s="22"/>
      <c r="C936" s="22"/>
      <c r="D936" s="30"/>
    </row>
    <row r="937">
      <c r="B937" s="22"/>
      <c r="C937" s="22"/>
      <c r="D937" s="30"/>
    </row>
    <row r="938">
      <c r="B938" s="22"/>
      <c r="C938" s="22"/>
      <c r="D938" s="30"/>
    </row>
    <row r="939">
      <c r="B939" s="22"/>
      <c r="C939" s="22"/>
      <c r="D939" s="30"/>
    </row>
    <row r="940">
      <c r="B940" s="22"/>
      <c r="C940" s="22"/>
      <c r="D940" s="30"/>
    </row>
    <row r="941">
      <c r="B941" s="22"/>
      <c r="C941" s="22"/>
      <c r="D941" s="30"/>
    </row>
    <row r="942">
      <c r="B942" s="22"/>
      <c r="C942" s="22"/>
      <c r="D942" s="30"/>
    </row>
    <row r="943">
      <c r="B943" s="22"/>
      <c r="C943" s="22"/>
      <c r="D943" s="30"/>
    </row>
    <row r="944">
      <c r="B944" s="22"/>
      <c r="C944" s="22"/>
      <c r="D944" s="30"/>
    </row>
    <row r="945">
      <c r="B945" s="22"/>
      <c r="C945" s="22"/>
      <c r="D945" s="30"/>
    </row>
    <row r="946">
      <c r="B946" s="22"/>
      <c r="C946" s="22"/>
      <c r="D946" s="30"/>
    </row>
    <row r="947">
      <c r="B947" s="22"/>
      <c r="C947" s="22"/>
      <c r="D947" s="30"/>
    </row>
    <row r="948">
      <c r="B948" s="22"/>
      <c r="C948" s="22"/>
      <c r="D948" s="30"/>
    </row>
    <row r="949">
      <c r="B949" s="22"/>
      <c r="C949" s="22"/>
      <c r="D949" s="30"/>
    </row>
    <row r="950">
      <c r="B950" s="22"/>
      <c r="C950" s="22"/>
      <c r="D950" s="30"/>
    </row>
    <row r="951">
      <c r="B951" s="22"/>
      <c r="C951" s="22"/>
      <c r="D951" s="30"/>
    </row>
    <row r="952">
      <c r="B952" s="22"/>
      <c r="C952" s="22"/>
      <c r="D952" s="30"/>
    </row>
    <row r="953">
      <c r="B953" s="22"/>
      <c r="C953" s="22"/>
      <c r="D953" s="30"/>
    </row>
    <row r="954">
      <c r="B954" s="22"/>
      <c r="C954" s="22"/>
      <c r="D954" s="30"/>
    </row>
    <row r="955">
      <c r="B955" s="22"/>
      <c r="C955" s="22"/>
      <c r="D955" s="30"/>
    </row>
    <row r="956">
      <c r="B956" s="22"/>
      <c r="C956" s="22"/>
      <c r="D956" s="30"/>
    </row>
    <row r="957">
      <c r="B957" s="22"/>
      <c r="C957" s="22"/>
      <c r="D957" s="30"/>
    </row>
    <row r="958">
      <c r="B958" s="22"/>
      <c r="C958" s="22"/>
      <c r="D958" s="30"/>
    </row>
    <row r="959">
      <c r="B959" s="22"/>
      <c r="C959" s="22"/>
      <c r="D959" s="30"/>
    </row>
    <row r="960">
      <c r="B960" s="22"/>
      <c r="C960" s="22"/>
      <c r="D960" s="30"/>
    </row>
    <row r="961">
      <c r="B961" s="22"/>
      <c r="C961" s="22"/>
      <c r="D961" s="30"/>
    </row>
    <row r="962">
      <c r="B962" s="22"/>
      <c r="C962" s="22"/>
      <c r="D962" s="30"/>
    </row>
    <row r="963">
      <c r="B963" s="22"/>
      <c r="C963" s="22"/>
      <c r="D963" s="30"/>
    </row>
    <row r="964">
      <c r="B964" s="22"/>
      <c r="C964" s="22"/>
      <c r="D964" s="30"/>
    </row>
    <row r="965">
      <c r="B965" s="22"/>
      <c r="C965" s="22"/>
      <c r="D965" s="30"/>
    </row>
    <row r="966">
      <c r="B966" s="22"/>
      <c r="C966" s="22"/>
      <c r="D966" s="30"/>
    </row>
    <row r="967">
      <c r="B967" s="22"/>
      <c r="C967" s="22"/>
      <c r="D967" s="30"/>
    </row>
    <row r="968">
      <c r="B968" s="22"/>
      <c r="C968" s="22"/>
      <c r="D968" s="30"/>
    </row>
    <row r="969">
      <c r="B969" s="22"/>
      <c r="C969" s="22"/>
      <c r="D969" s="30"/>
    </row>
    <row r="970">
      <c r="B970" s="22"/>
      <c r="C970" s="22"/>
      <c r="D970" s="30"/>
    </row>
    <row r="971">
      <c r="B971" s="22"/>
      <c r="C971" s="22"/>
      <c r="D971" s="30"/>
    </row>
    <row r="972">
      <c r="B972" s="22"/>
      <c r="C972" s="22"/>
      <c r="D972" s="30"/>
    </row>
    <row r="973">
      <c r="B973" s="22"/>
      <c r="C973" s="22"/>
      <c r="D973" s="30"/>
    </row>
    <row r="974">
      <c r="B974" s="22"/>
      <c r="C974" s="22"/>
      <c r="D974" s="30"/>
    </row>
    <row r="975">
      <c r="B975" s="22"/>
      <c r="C975" s="22"/>
      <c r="D975" s="30"/>
    </row>
    <row r="976">
      <c r="B976" s="22"/>
      <c r="C976" s="22"/>
      <c r="D976" s="30"/>
    </row>
    <row r="977">
      <c r="B977" s="22"/>
      <c r="C977" s="22"/>
      <c r="D977" s="30"/>
    </row>
    <row r="978">
      <c r="B978" s="22"/>
      <c r="C978" s="22"/>
      <c r="D978" s="30"/>
    </row>
    <row r="979">
      <c r="B979" s="22"/>
      <c r="C979" s="22"/>
      <c r="D979" s="30"/>
    </row>
    <row r="980">
      <c r="B980" s="22"/>
      <c r="C980" s="22"/>
      <c r="D980" s="30"/>
    </row>
    <row r="981">
      <c r="B981" s="22"/>
      <c r="C981" s="22"/>
      <c r="D981" s="30"/>
    </row>
    <row r="982">
      <c r="B982" s="22"/>
      <c r="C982" s="22"/>
      <c r="D982" s="30"/>
    </row>
    <row r="983">
      <c r="B983" s="22"/>
      <c r="C983" s="22"/>
      <c r="D983" s="30"/>
    </row>
    <row r="984">
      <c r="B984" s="22"/>
      <c r="C984" s="22"/>
      <c r="D984" s="30"/>
    </row>
    <row r="985">
      <c r="B985" s="22"/>
      <c r="C985" s="22"/>
      <c r="D985" s="30"/>
    </row>
    <row r="986">
      <c r="B986" s="22"/>
      <c r="C986" s="22"/>
      <c r="D986" s="30"/>
    </row>
    <row r="987">
      <c r="B987" s="22"/>
      <c r="C987" s="22"/>
      <c r="D987" s="30"/>
    </row>
    <row r="988">
      <c r="B988" s="22"/>
      <c r="C988" s="22"/>
      <c r="D988" s="30"/>
    </row>
    <row r="989">
      <c r="B989" s="22"/>
      <c r="C989" s="22"/>
      <c r="D989" s="30"/>
    </row>
    <row r="990">
      <c r="B990" s="22"/>
      <c r="C990" s="22"/>
      <c r="D990" s="30"/>
    </row>
    <row r="991">
      <c r="B991" s="22"/>
      <c r="C991" s="22"/>
      <c r="D991" s="30"/>
    </row>
    <row r="992">
      <c r="B992" s="22"/>
      <c r="C992" s="22"/>
      <c r="D992" s="30"/>
    </row>
    <row r="993">
      <c r="B993" s="22"/>
      <c r="C993" s="22"/>
      <c r="D993" s="30"/>
    </row>
    <row r="994">
      <c r="B994" s="22"/>
      <c r="C994" s="22"/>
      <c r="D994" s="30"/>
    </row>
    <row r="995">
      <c r="B995" s="22"/>
      <c r="C995" s="22"/>
      <c r="D995" s="30"/>
    </row>
    <row r="996">
      <c r="B996" s="22"/>
      <c r="C996" s="22"/>
      <c r="D996" s="30"/>
    </row>
    <row r="997">
      <c r="B997" s="22"/>
      <c r="C997" s="22"/>
      <c r="D997" s="30"/>
    </row>
    <row r="998">
      <c r="B998" s="22"/>
      <c r="C998" s="22"/>
      <c r="D998" s="30"/>
    </row>
    <row r="999">
      <c r="B999" s="22"/>
      <c r="C999" s="22"/>
      <c r="D999" s="30"/>
    </row>
    <row r="1000">
      <c r="B1000" s="22"/>
      <c r="C1000" s="22"/>
      <c r="D1000" s="30"/>
    </row>
    <row r="1001">
      <c r="B1001" s="22"/>
      <c r="C1001" s="22"/>
      <c r="D1001" s="30"/>
    </row>
    <row r="1002">
      <c r="B1002" s="22"/>
      <c r="C1002" s="22"/>
      <c r="D1002" s="30"/>
    </row>
    <row r="1003">
      <c r="B1003" s="22"/>
      <c r="C1003" s="22"/>
      <c r="D1003" s="30"/>
    </row>
    <row r="1004">
      <c r="B1004" s="22"/>
      <c r="C1004" s="22"/>
      <c r="D1004" s="30"/>
    </row>
    <row r="1005">
      <c r="B1005" s="22"/>
      <c r="C1005" s="22"/>
      <c r="D1005" s="30"/>
    </row>
    <row r="1006">
      <c r="B1006" s="22"/>
      <c r="C1006" s="22"/>
      <c r="D1006" s="30"/>
    </row>
    <row r="1007">
      <c r="B1007" s="22"/>
      <c r="C1007" s="22"/>
      <c r="D1007" s="30"/>
    </row>
    <row r="1008">
      <c r="B1008" s="22"/>
      <c r="C1008" s="22"/>
      <c r="D1008" s="30"/>
    </row>
    <row r="1009">
      <c r="B1009" s="22"/>
      <c r="C1009" s="22"/>
      <c r="D1009" s="30"/>
    </row>
    <row r="1010">
      <c r="B1010" s="22"/>
      <c r="C1010" s="22"/>
      <c r="D1010" s="30"/>
    </row>
    <row r="1011">
      <c r="B1011" s="22"/>
      <c r="C1011" s="22"/>
      <c r="D1011" s="30"/>
    </row>
    <row r="1012">
      <c r="B1012" s="22"/>
      <c r="C1012" s="22"/>
      <c r="D1012" s="30"/>
    </row>
    <row r="1013">
      <c r="B1013" s="22"/>
      <c r="C1013" s="22"/>
      <c r="D1013" s="30"/>
    </row>
    <row r="1014">
      <c r="B1014" s="22"/>
      <c r="C1014" s="22"/>
      <c r="D1014" s="30"/>
    </row>
    <row r="1015">
      <c r="B1015" s="22"/>
      <c r="C1015" s="22"/>
      <c r="D1015" s="30"/>
    </row>
    <row r="1016">
      <c r="B1016" s="22"/>
      <c r="C1016" s="22"/>
      <c r="D1016" s="30"/>
    </row>
    <row r="1017">
      <c r="B1017" s="22"/>
      <c r="C1017" s="22"/>
      <c r="D1017" s="30"/>
    </row>
    <row r="1018">
      <c r="B1018" s="22"/>
      <c r="C1018" s="22"/>
      <c r="D1018" s="30"/>
    </row>
    <row r="1019">
      <c r="B1019" s="22"/>
      <c r="C1019" s="22"/>
      <c r="D1019" s="30"/>
    </row>
    <row r="1020">
      <c r="B1020" s="22"/>
      <c r="C1020" s="22"/>
      <c r="D1020" s="30"/>
    </row>
    <row r="1021">
      <c r="B1021" s="22"/>
      <c r="C1021" s="22"/>
      <c r="D1021" s="30"/>
    </row>
    <row r="1022">
      <c r="B1022" s="22"/>
      <c r="C1022" s="22"/>
      <c r="D1022" s="30"/>
    </row>
    <row r="1023">
      <c r="B1023" s="22"/>
      <c r="C1023" s="22"/>
      <c r="D1023" s="30"/>
    </row>
    <row r="1024">
      <c r="B1024" s="22"/>
      <c r="C1024" s="22"/>
      <c r="D1024" s="30"/>
    </row>
    <row r="1025">
      <c r="B1025" s="22"/>
      <c r="C1025" s="22"/>
      <c r="D1025" s="30"/>
    </row>
    <row r="1026">
      <c r="B1026" s="22"/>
      <c r="C1026" s="22"/>
      <c r="D1026" s="30"/>
    </row>
    <row r="1027">
      <c r="B1027" s="22"/>
      <c r="C1027" s="22"/>
      <c r="D1027" s="30"/>
    </row>
    <row r="1028">
      <c r="B1028" s="22"/>
      <c r="C1028" s="22"/>
      <c r="D1028" s="30"/>
    </row>
    <row r="1029">
      <c r="B1029" s="22"/>
      <c r="C1029" s="22"/>
      <c r="D1029" s="30"/>
    </row>
    <row r="1030">
      <c r="B1030" s="22"/>
      <c r="C1030" s="22"/>
      <c r="D1030" s="30"/>
    </row>
    <row r="1031">
      <c r="B1031" s="22"/>
      <c r="C1031" s="22"/>
      <c r="D1031" s="30"/>
    </row>
    <row r="1032">
      <c r="B1032" s="22"/>
      <c r="C1032" s="22"/>
      <c r="D1032" s="30"/>
    </row>
    <row r="1033">
      <c r="B1033" s="22"/>
      <c r="C1033" s="22"/>
      <c r="D1033" s="30"/>
    </row>
    <row r="1034">
      <c r="B1034" s="22"/>
      <c r="C1034" s="22"/>
      <c r="D1034" s="30"/>
    </row>
    <row r="1035">
      <c r="B1035" s="22"/>
      <c r="C1035" s="22"/>
      <c r="D1035" s="30"/>
    </row>
    <row r="1036">
      <c r="B1036" s="22"/>
      <c r="C1036" s="22"/>
      <c r="D1036" s="30"/>
    </row>
    <row r="1037">
      <c r="B1037" s="22"/>
      <c r="C1037" s="22"/>
      <c r="D1037" s="30"/>
    </row>
    <row r="1038">
      <c r="B1038" s="22"/>
      <c r="C1038" s="22"/>
      <c r="D1038" s="30"/>
    </row>
    <row r="1039">
      <c r="B1039" s="22"/>
      <c r="C1039" s="22"/>
      <c r="D1039" s="30"/>
    </row>
    <row r="1040">
      <c r="B1040" s="22"/>
      <c r="C1040" s="22"/>
      <c r="D1040" s="30"/>
    </row>
    <row r="1041">
      <c r="B1041" s="22"/>
      <c r="C1041" s="22"/>
      <c r="D1041" s="30"/>
    </row>
    <row r="1042">
      <c r="B1042" s="22"/>
      <c r="C1042" s="22"/>
      <c r="D1042" s="30"/>
    </row>
    <row r="1043">
      <c r="B1043" s="22"/>
      <c r="C1043" s="22"/>
      <c r="D1043" s="30"/>
    </row>
    <row r="1044">
      <c r="B1044" s="22"/>
      <c r="C1044" s="22"/>
      <c r="D1044" s="30"/>
    </row>
    <row r="1045">
      <c r="B1045" s="22"/>
      <c r="C1045" s="22"/>
      <c r="D1045" s="30"/>
    </row>
    <row r="1046">
      <c r="B1046" s="22"/>
      <c r="C1046" s="22"/>
      <c r="D1046" s="30"/>
    </row>
    <row r="1047">
      <c r="B1047" s="22"/>
      <c r="C1047" s="22"/>
      <c r="D1047" s="30"/>
    </row>
    <row r="1048">
      <c r="B1048" s="22"/>
      <c r="C1048" s="22"/>
      <c r="D1048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6.0"/>
  </cols>
  <sheetData>
    <row r="1">
      <c r="A1" s="1" t="s">
        <v>3</v>
      </c>
      <c r="B1" s="5" t="s">
        <v>4</v>
      </c>
      <c r="C1" s="5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>
        <v>45457.0</v>
      </c>
      <c r="B2" s="5">
        <v>8824460.0</v>
      </c>
      <c r="C2" s="5">
        <v>3213382.0</v>
      </c>
      <c r="D2" s="6">
        <f t="shared" ref="D2:D22" si="1">C2/B2</f>
        <v>0.3641448882</v>
      </c>
      <c r="F2" s="7"/>
      <c r="G2" s="7"/>
      <c r="H2" s="7"/>
      <c r="I2" s="7"/>
    </row>
    <row r="3">
      <c r="A3" s="2">
        <v>45491.0</v>
      </c>
      <c r="B3" s="5">
        <v>1.3398947E7</v>
      </c>
      <c r="C3" s="5">
        <v>6262952.0</v>
      </c>
      <c r="D3" s="6">
        <f t="shared" si="1"/>
        <v>0.4674212085</v>
      </c>
      <c r="F3" s="7"/>
      <c r="G3" s="7"/>
      <c r="H3" s="7"/>
      <c r="I3" s="7"/>
    </row>
    <row r="4">
      <c r="A4" s="2">
        <v>45530.0</v>
      </c>
      <c r="B4" s="5">
        <v>1.3143806E7</v>
      </c>
      <c r="C4" s="5">
        <v>4723760.0</v>
      </c>
      <c r="D4" s="6">
        <f t="shared" si="1"/>
        <v>0.3593905753</v>
      </c>
      <c r="F4" s="7"/>
      <c r="G4" s="7"/>
      <c r="H4" s="7"/>
      <c r="I4" s="7"/>
    </row>
    <row r="5">
      <c r="A5" s="2">
        <v>45548.0</v>
      </c>
      <c r="B5" s="5">
        <v>6942345.0</v>
      </c>
      <c r="C5" s="5">
        <v>-345829.0</v>
      </c>
      <c r="D5" s="6">
        <f t="shared" si="1"/>
        <v>-0.0498144359</v>
      </c>
      <c r="F5" s="7"/>
      <c r="G5" s="7"/>
      <c r="H5" s="7"/>
      <c r="I5" s="7"/>
    </row>
    <row r="6">
      <c r="A6" s="2">
        <v>45583.0</v>
      </c>
      <c r="B6" s="5">
        <v>7046078.0</v>
      </c>
      <c r="C6" s="5">
        <v>2359160.0</v>
      </c>
      <c r="D6" s="6">
        <f t="shared" si="1"/>
        <v>0.3348188879</v>
      </c>
      <c r="F6" s="7"/>
      <c r="G6" s="7"/>
      <c r="H6" s="7"/>
      <c r="I6" s="7"/>
    </row>
    <row r="7">
      <c r="A7" s="2">
        <v>45611.0</v>
      </c>
      <c r="B7" s="5">
        <v>7074556.0</v>
      </c>
      <c r="C7" s="5">
        <v>2122037.0</v>
      </c>
      <c r="D7" s="6">
        <f t="shared" si="1"/>
        <v>0.2999533822</v>
      </c>
      <c r="F7" s="7"/>
      <c r="G7" s="7"/>
      <c r="H7" s="7"/>
      <c r="I7" s="7"/>
    </row>
    <row r="8">
      <c r="A8" s="2">
        <v>45636.0</v>
      </c>
      <c r="B8" s="5">
        <v>8778180.0</v>
      </c>
      <c r="C8" s="5">
        <v>3254915.0</v>
      </c>
      <c r="D8" s="6">
        <f t="shared" si="1"/>
        <v>0.3707961104</v>
      </c>
      <c r="F8" s="7"/>
      <c r="G8" s="7"/>
      <c r="H8" s="7"/>
      <c r="I8" s="7"/>
    </row>
    <row r="9">
      <c r="A9" s="2">
        <v>45674.0</v>
      </c>
      <c r="B9" s="5">
        <v>7557363.0</v>
      </c>
      <c r="C9" s="5">
        <v>1561630.0</v>
      </c>
      <c r="D9" s="6">
        <f t="shared" si="1"/>
        <v>0.2066368917</v>
      </c>
      <c r="F9" s="7"/>
      <c r="G9" s="7"/>
      <c r="H9" s="7"/>
      <c r="I9" s="7"/>
    </row>
    <row r="10">
      <c r="A10" s="2">
        <v>45701.0</v>
      </c>
      <c r="B10" s="5">
        <v>6175242.0</v>
      </c>
      <c r="C10" s="5">
        <v>1009592.0</v>
      </c>
      <c r="D10" s="6">
        <f t="shared" si="1"/>
        <v>0.1634902729</v>
      </c>
      <c r="F10" s="7"/>
      <c r="G10" s="7"/>
      <c r="H10" s="7"/>
      <c r="I10" s="7"/>
    </row>
    <row r="11">
      <c r="A11" s="2">
        <v>45737.0</v>
      </c>
      <c r="B11" s="5">
        <v>5213180.0</v>
      </c>
      <c r="C11" s="5">
        <v>704676.0</v>
      </c>
      <c r="D11" s="6">
        <f t="shared" si="1"/>
        <v>0.1351720063</v>
      </c>
      <c r="F11" s="7"/>
      <c r="G11" s="7"/>
      <c r="H11" s="7"/>
      <c r="I11" s="7"/>
    </row>
    <row r="12">
      <c r="A12" s="2">
        <v>45777.0</v>
      </c>
      <c r="B12" s="5">
        <v>5973330.0</v>
      </c>
      <c r="C12" s="5">
        <v>1132162.0</v>
      </c>
      <c r="D12" s="6">
        <f t="shared" si="1"/>
        <v>0.1895361549</v>
      </c>
      <c r="F12" s="7"/>
      <c r="G12" s="7"/>
      <c r="H12" s="7"/>
      <c r="I12" s="7"/>
    </row>
    <row r="13">
      <c r="A13" s="2">
        <v>45799.0</v>
      </c>
      <c r="B13" s="5">
        <v>5907162.0</v>
      </c>
      <c r="C13" s="5">
        <v>1366547.0</v>
      </c>
      <c r="D13" s="6">
        <f t="shared" si="1"/>
        <v>0.2313373156</v>
      </c>
      <c r="E13" s="8">
        <f t="shared" ref="E13:E22" si="3">average(D2:D13)</f>
        <v>0.2560736048</v>
      </c>
      <c r="F13" s="9">
        <f t="shared" ref="F13:G13" si="2">average(B2:B13)</f>
        <v>8002887.417</v>
      </c>
      <c r="G13" s="9">
        <f t="shared" si="2"/>
        <v>2280415.333</v>
      </c>
      <c r="H13" s="9">
        <f t="shared" ref="H13:H22" si="5">F13*12</f>
        <v>96034649</v>
      </c>
      <c r="I13" s="9">
        <f t="shared" ref="I13:I22" si="6">G13*12*4</f>
        <v>109459936</v>
      </c>
    </row>
    <row r="14">
      <c r="A14" s="2">
        <v>45824.0</v>
      </c>
      <c r="B14" s="5">
        <v>7380344.0</v>
      </c>
      <c r="C14" s="5">
        <v>2324710.0</v>
      </c>
      <c r="D14" s="6">
        <f t="shared" si="1"/>
        <v>0.3149866727</v>
      </c>
      <c r="E14" s="8">
        <f t="shared" si="3"/>
        <v>0.2519770869</v>
      </c>
      <c r="F14" s="9">
        <f t="shared" ref="F14:G14" si="4">average(B3:B14)</f>
        <v>7882544.417</v>
      </c>
      <c r="G14" s="9">
        <f t="shared" si="4"/>
        <v>2206359.333</v>
      </c>
      <c r="H14" s="9">
        <f t="shared" si="5"/>
        <v>94590533</v>
      </c>
      <c r="I14" s="9">
        <f t="shared" si="6"/>
        <v>105905248</v>
      </c>
    </row>
    <row r="15">
      <c r="A15" s="2">
        <v>45863.0</v>
      </c>
      <c r="B15" s="5">
        <v>1.0449627E7</v>
      </c>
      <c r="C15" s="5">
        <v>4173862.0</v>
      </c>
      <c r="D15" s="6">
        <f t="shared" si="1"/>
        <v>0.3994268886</v>
      </c>
      <c r="E15" s="8">
        <f t="shared" si="3"/>
        <v>0.2463108936</v>
      </c>
      <c r="F15" s="9">
        <f t="shared" ref="F15:G15" si="7">average(B4:B15)</f>
        <v>7636767.75</v>
      </c>
      <c r="G15" s="9">
        <f t="shared" si="7"/>
        <v>2032268.5</v>
      </c>
      <c r="H15" s="9">
        <f t="shared" si="5"/>
        <v>91641213</v>
      </c>
      <c r="I15" s="9">
        <f t="shared" si="6"/>
        <v>97548888</v>
      </c>
    </row>
    <row r="16">
      <c r="A16" s="2">
        <v>45895.0</v>
      </c>
      <c r="B16" s="5">
        <v>1.1323219E7</v>
      </c>
      <c r="C16" s="5">
        <v>3978121.0</v>
      </c>
      <c r="D16" s="6">
        <f t="shared" si="1"/>
        <v>0.3513242127</v>
      </c>
      <c r="E16" s="8">
        <f t="shared" si="3"/>
        <v>0.2456386967</v>
      </c>
      <c r="F16" s="9">
        <f t="shared" ref="F16:G16" si="8">average(B5:B16)</f>
        <v>7485052.167</v>
      </c>
      <c r="G16" s="9">
        <f t="shared" si="8"/>
        <v>1970131.917</v>
      </c>
      <c r="H16" s="9">
        <f t="shared" si="5"/>
        <v>89820626</v>
      </c>
      <c r="I16" s="9">
        <f t="shared" si="6"/>
        <v>94566332</v>
      </c>
    </row>
    <row r="17">
      <c r="A17" s="2">
        <v>45926.0</v>
      </c>
      <c r="B17" s="5">
        <v>5359290.0</v>
      </c>
      <c r="C17" s="5">
        <v>-342032.0</v>
      </c>
      <c r="D17" s="6">
        <f t="shared" si="1"/>
        <v>-0.06382039412</v>
      </c>
      <c r="E17" s="8">
        <f t="shared" si="3"/>
        <v>0.2444715335</v>
      </c>
      <c r="F17" s="9">
        <f t="shared" ref="F17:G17" si="9">average(B6:B17)</f>
        <v>7353130.917</v>
      </c>
      <c r="G17" s="9">
        <f t="shared" si="9"/>
        <v>1970448.333</v>
      </c>
      <c r="H17" s="9">
        <f t="shared" si="5"/>
        <v>88237571</v>
      </c>
      <c r="I17" s="9">
        <f t="shared" si="6"/>
        <v>94581520</v>
      </c>
    </row>
    <row r="18">
      <c r="A18" s="2">
        <v>45961.0</v>
      </c>
      <c r="B18" s="5">
        <v>6942346.0</v>
      </c>
      <c r="C18" s="5">
        <v>1210344.0</v>
      </c>
      <c r="D18" s="6">
        <f t="shared" si="1"/>
        <v>0.174342218</v>
      </c>
      <c r="E18" s="8">
        <f t="shared" si="3"/>
        <v>0.2310984777</v>
      </c>
      <c r="F18" s="9">
        <f t="shared" ref="F18:G18" si="10">average(B7:B18)</f>
        <v>7344486.583</v>
      </c>
      <c r="G18" s="9">
        <f t="shared" si="10"/>
        <v>1874713.667</v>
      </c>
      <c r="H18" s="9">
        <f t="shared" si="5"/>
        <v>88133839</v>
      </c>
      <c r="I18" s="9">
        <f t="shared" si="6"/>
        <v>89986256</v>
      </c>
    </row>
    <row r="19">
      <c r="A19" s="2">
        <v>45991.0</v>
      </c>
      <c r="B19" s="5">
        <v>5571316.0</v>
      </c>
      <c r="C19" s="5">
        <v>868357.0</v>
      </c>
      <c r="D19" s="6">
        <f t="shared" si="1"/>
        <v>0.1558620979</v>
      </c>
      <c r="E19" s="8">
        <f t="shared" si="3"/>
        <v>0.2190908706</v>
      </c>
      <c r="F19" s="9">
        <f t="shared" ref="F19:G19" si="11">average(B8:B19)</f>
        <v>7219216.583</v>
      </c>
      <c r="G19" s="9">
        <f t="shared" si="11"/>
        <v>1770240.333</v>
      </c>
      <c r="H19" s="9">
        <f t="shared" si="5"/>
        <v>86630599</v>
      </c>
      <c r="I19" s="9">
        <f t="shared" si="6"/>
        <v>84971536</v>
      </c>
    </row>
    <row r="20">
      <c r="A20" s="2">
        <v>46022.0</v>
      </c>
      <c r="B20" s="5">
        <v>8132494.0</v>
      </c>
      <c r="C20" s="5">
        <v>3240086.0</v>
      </c>
      <c r="D20" s="6">
        <f t="shared" si="1"/>
        <v>0.3984123444</v>
      </c>
      <c r="E20" s="8">
        <f t="shared" si="3"/>
        <v>0.2213922235</v>
      </c>
      <c r="F20" s="9">
        <f t="shared" ref="F20:G20" si="12">average(B9:B20)</f>
        <v>7165409.417</v>
      </c>
      <c r="G20" s="9">
        <f t="shared" si="12"/>
        <v>1769004.583</v>
      </c>
      <c r="H20" s="9">
        <f t="shared" si="5"/>
        <v>85984913</v>
      </c>
      <c r="I20" s="9">
        <f t="shared" si="6"/>
        <v>84912220</v>
      </c>
    </row>
    <row r="21">
      <c r="A21" s="2">
        <v>46053.0</v>
      </c>
      <c r="B21" s="5">
        <v>6027039.0</v>
      </c>
      <c r="C21" s="5">
        <v>136639.0</v>
      </c>
      <c r="D21" s="6">
        <f t="shared" si="1"/>
        <v>0.02267099981</v>
      </c>
      <c r="E21" s="8">
        <f t="shared" si="3"/>
        <v>0.2060617325</v>
      </c>
      <c r="F21" s="9">
        <f t="shared" ref="F21:G21" si="13">average(B10:B21)</f>
        <v>7037882.417</v>
      </c>
      <c r="G21" s="9">
        <f t="shared" si="13"/>
        <v>1650255.333</v>
      </c>
      <c r="H21" s="9">
        <f t="shared" si="5"/>
        <v>84454589</v>
      </c>
      <c r="I21" s="9">
        <f t="shared" si="6"/>
        <v>79212256</v>
      </c>
    </row>
    <row r="22">
      <c r="A22" s="2">
        <v>46081.0</v>
      </c>
      <c r="B22" s="5">
        <v>4956638.0</v>
      </c>
      <c r="C22" s="5">
        <v>467623.0</v>
      </c>
      <c r="D22" s="6">
        <f t="shared" si="1"/>
        <v>0.09434277831</v>
      </c>
      <c r="E22" s="8">
        <f t="shared" si="3"/>
        <v>0.2002994413</v>
      </c>
      <c r="F22" s="9">
        <f t="shared" ref="F22:G22" si="14">average(B11:B22)</f>
        <v>6936332.083</v>
      </c>
      <c r="G22" s="9">
        <f t="shared" si="14"/>
        <v>1605091.25</v>
      </c>
      <c r="H22" s="9">
        <f t="shared" si="5"/>
        <v>83235985</v>
      </c>
      <c r="I22" s="9">
        <f t="shared" si="6"/>
        <v>77044380</v>
      </c>
    </row>
    <row r="23">
      <c r="A23" s="2"/>
      <c r="B23" s="5"/>
      <c r="C23" s="5"/>
      <c r="D23" s="6"/>
      <c r="E23" s="10"/>
      <c r="F23" s="9"/>
      <c r="G23" s="9"/>
      <c r="H23" s="9"/>
      <c r="I23" s="9"/>
    </row>
    <row r="24">
      <c r="B24" s="7"/>
      <c r="C24" s="7"/>
    </row>
    <row r="25">
      <c r="B25" s="7"/>
      <c r="C25" s="7"/>
    </row>
    <row r="26">
      <c r="A26" s="11"/>
      <c r="B26" s="12"/>
      <c r="C26" s="12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3">
        <f t="array" ref="A27:I27">INDEX(A2:I26, COUNTA(A2:A26), 0)</f>
        <v>46081</v>
      </c>
      <c r="B27" s="14">
        <v>4956638.0</v>
      </c>
      <c r="C27" s="14">
        <v>467623.0</v>
      </c>
      <c r="D27" s="15">
        <v>0.09434277831062103</v>
      </c>
      <c r="E27" s="15">
        <v>0.20029944126301732</v>
      </c>
      <c r="F27" s="14">
        <v>6936332.083333333</v>
      </c>
      <c r="G27" s="14">
        <v>1605091.25</v>
      </c>
      <c r="H27" s="14">
        <v>8.3235985E7</v>
      </c>
      <c r="I27" s="14">
        <v>7.704438E7</v>
      </c>
    </row>
    <row r="29">
      <c r="B29" s="7">
        <f>sum(B16:B20)</f>
        <v>37328665</v>
      </c>
    </row>
    <row r="30">
      <c r="A30" s="1" t="s">
        <v>12</v>
      </c>
      <c r="F30" s="16">
        <f>F27*12</f>
        <v>83235985</v>
      </c>
    </row>
    <row r="31">
      <c r="A31" s="1" t="s">
        <v>13</v>
      </c>
      <c r="G31" s="16">
        <f>G27*12*4</f>
        <v>77044380</v>
      </c>
    </row>
    <row r="32">
      <c r="A32" s="1" t="s">
        <v>14</v>
      </c>
      <c r="H32" s="9">
        <f>(F30+G31)/2</f>
        <v>80140182.5</v>
      </c>
    </row>
    <row r="34">
      <c r="A34" s="1" t="s">
        <v>15</v>
      </c>
      <c r="B34" s="1">
        <v>1.0</v>
      </c>
      <c r="C34" s="1" t="s">
        <v>16</v>
      </c>
      <c r="F34" s="16">
        <f>F30/100*B34</f>
        <v>832359.85</v>
      </c>
    </row>
    <row r="35">
      <c r="G35" s="16">
        <f>G31/100*B34</f>
        <v>770443.8</v>
      </c>
    </row>
    <row r="36">
      <c r="A36" s="1" t="s">
        <v>14</v>
      </c>
      <c r="H36" s="9">
        <f>(F34+G35)/2</f>
        <v>801401.825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8" t="s">
        <v>17</v>
      </c>
      <c r="C1" s="18" t="s">
        <v>18</v>
      </c>
      <c r="D1" s="19" t="s">
        <v>19</v>
      </c>
      <c r="E1" s="1" t="s">
        <v>20</v>
      </c>
      <c r="F1" s="1" t="s">
        <v>21</v>
      </c>
    </row>
    <row r="2">
      <c r="A2" s="2">
        <v>45491.0</v>
      </c>
      <c r="B2" s="18">
        <v>32000.0</v>
      </c>
      <c r="C2" s="18">
        <v>36.0</v>
      </c>
      <c r="D2" s="20">
        <f t="shared" ref="D2:D22" si="1">B2/C2</f>
        <v>888.8888889</v>
      </c>
      <c r="E2" s="1">
        <v>1.0</v>
      </c>
    </row>
    <row r="3">
      <c r="A3" s="2">
        <v>45530.0</v>
      </c>
      <c r="B3" s="18">
        <v>60000.0</v>
      </c>
      <c r="C3" s="18">
        <v>34.38</v>
      </c>
      <c r="D3" s="20">
        <f t="shared" si="1"/>
        <v>1745.200698</v>
      </c>
      <c r="E3" s="1">
        <v>1.0</v>
      </c>
    </row>
    <row r="4">
      <c r="A4" s="2">
        <v>45548.0</v>
      </c>
      <c r="B4" s="18">
        <v>45000.0</v>
      </c>
      <c r="C4" s="18">
        <v>33.3</v>
      </c>
      <c r="D4" s="20">
        <f t="shared" si="1"/>
        <v>1351.351351</v>
      </c>
      <c r="E4" s="1">
        <v>1.0</v>
      </c>
    </row>
    <row r="5">
      <c r="A5" s="2">
        <v>45583.0</v>
      </c>
      <c r="B5" s="18">
        <v>0.0</v>
      </c>
      <c r="C5" s="18">
        <v>33.3</v>
      </c>
      <c r="D5" s="20">
        <f t="shared" si="1"/>
        <v>0</v>
      </c>
      <c r="E5" s="1">
        <v>1.0</v>
      </c>
    </row>
    <row r="6">
      <c r="A6" s="2">
        <v>45611.0</v>
      </c>
      <c r="B6" s="18">
        <v>23000.0</v>
      </c>
      <c r="C6" s="18">
        <v>34.53</v>
      </c>
      <c r="D6" s="20">
        <f t="shared" si="1"/>
        <v>666.0874602</v>
      </c>
      <c r="E6" s="1">
        <v>1.0</v>
      </c>
    </row>
    <row r="7">
      <c r="A7" s="2">
        <v>45636.0</v>
      </c>
      <c r="B7" s="18">
        <v>20000.0</v>
      </c>
      <c r="C7" s="18">
        <v>33.68</v>
      </c>
      <c r="D7" s="20">
        <f t="shared" si="1"/>
        <v>593.824228</v>
      </c>
      <c r="E7" s="1">
        <v>1.0</v>
      </c>
    </row>
    <row r="8">
      <c r="A8" s="2">
        <v>45674.0</v>
      </c>
      <c r="B8" s="18">
        <v>30000.0</v>
      </c>
      <c r="C8" s="18">
        <v>34.56</v>
      </c>
      <c r="D8" s="20">
        <f t="shared" si="1"/>
        <v>868.0555556</v>
      </c>
      <c r="E8" s="1">
        <v>1.0</v>
      </c>
    </row>
    <row r="9">
      <c r="A9" s="2">
        <v>45701.0</v>
      </c>
      <c r="B9" s="18">
        <v>15000.0</v>
      </c>
      <c r="C9" s="18">
        <v>33.94</v>
      </c>
      <c r="D9" s="20">
        <f t="shared" si="1"/>
        <v>441.9563936</v>
      </c>
      <c r="E9" s="1">
        <v>1.0</v>
      </c>
    </row>
    <row r="10">
      <c r="A10" s="2">
        <v>45737.0</v>
      </c>
      <c r="B10" s="18">
        <v>10000.0</v>
      </c>
      <c r="C10" s="18">
        <v>33.57</v>
      </c>
      <c r="D10" s="20">
        <f t="shared" si="1"/>
        <v>297.8850164</v>
      </c>
      <c r="E10" s="1">
        <v>1.0</v>
      </c>
    </row>
    <row r="11">
      <c r="A11" s="2">
        <v>45777.0</v>
      </c>
      <c r="B11" s="18">
        <v>7000.0</v>
      </c>
      <c r="C11" s="18">
        <v>33.37</v>
      </c>
      <c r="D11" s="20">
        <f t="shared" si="1"/>
        <v>209.7692538</v>
      </c>
      <c r="E11" s="1">
        <v>1.0</v>
      </c>
    </row>
    <row r="12">
      <c r="A12" s="2">
        <v>45799.0</v>
      </c>
      <c r="B12" s="18">
        <v>11500.0</v>
      </c>
      <c r="C12" s="18">
        <v>33.42</v>
      </c>
      <c r="D12" s="20">
        <f t="shared" si="1"/>
        <v>344.1053262</v>
      </c>
      <c r="E12" s="1">
        <v>1.0</v>
      </c>
    </row>
    <row r="13">
      <c r="A13" s="2">
        <v>45824.0</v>
      </c>
      <c r="B13" s="18">
        <v>13000.0</v>
      </c>
      <c r="C13" s="18">
        <v>32.41</v>
      </c>
      <c r="D13" s="20">
        <f t="shared" si="1"/>
        <v>401.1107683</v>
      </c>
      <c r="E13" s="1">
        <v>1.0</v>
      </c>
    </row>
    <row r="14">
      <c r="A14" s="2">
        <v>45863.0</v>
      </c>
      <c r="B14" s="18">
        <v>23000.0</v>
      </c>
      <c r="C14" s="18">
        <v>32.45</v>
      </c>
      <c r="D14" s="20">
        <f t="shared" si="1"/>
        <v>708.7827427</v>
      </c>
      <c r="E14" s="1">
        <v>1.0</v>
      </c>
    </row>
    <row r="15">
      <c r="A15" s="2">
        <v>45895.0</v>
      </c>
      <c r="B15" s="18">
        <v>41000.0</v>
      </c>
      <c r="C15" s="18">
        <v>32.38</v>
      </c>
      <c r="D15" s="20">
        <f t="shared" si="1"/>
        <v>1266.213712</v>
      </c>
      <c r="E15" s="1">
        <v>1.0</v>
      </c>
    </row>
    <row r="16">
      <c r="A16" s="2">
        <v>45926.0</v>
      </c>
      <c r="B16" s="18">
        <v>40000.0</v>
      </c>
      <c r="C16" s="18">
        <v>31.83</v>
      </c>
      <c r="D16" s="20">
        <f t="shared" si="1"/>
        <v>1256.676092</v>
      </c>
      <c r="E16" s="1">
        <v>1.0</v>
      </c>
    </row>
    <row r="17">
      <c r="A17" s="2">
        <v>45957.0</v>
      </c>
      <c r="B17" s="18">
        <v>12000.0</v>
      </c>
      <c r="C17" s="18">
        <v>32.66</v>
      </c>
      <c r="D17" s="20">
        <f t="shared" si="1"/>
        <v>367.4219228</v>
      </c>
      <c r="E17" s="1">
        <v>1.0</v>
      </c>
    </row>
    <row r="18">
      <c r="A18" s="2">
        <v>45992.0</v>
      </c>
      <c r="B18" s="18">
        <v>12000.0</v>
      </c>
      <c r="C18" s="18">
        <v>31.97</v>
      </c>
      <c r="D18" s="20">
        <f t="shared" si="1"/>
        <v>375.3518924</v>
      </c>
      <c r="E18" s="1">
        <v>1.0</v>
      </c>
    </row>
    <row r="19">
      <c r="A19" s="2">
        <v>46020.0</v>
      </c>
      <c r="B19" s="18">
        <v>8000.0</v>
      </c>
      <c r="C19" s="18">
        <v>31.44</v>
      </c>
      <c r="D19" s="20">
        <f t="shared" si="1"/>
        <v>254.4529262</v>
      </c>
      <c r="E19" s="1">
        <v>1.0</v>
      </c>
    </row>
    <row r="20">
      <c r="A20" s="2">
        <v>46052.0</v>
      </c>
      <c r="B20" s="18">
        <v>30000.0</v>
      </c>
      <c r="C20" s="18">
        <v>31.4</v>
      </c>
      <c r="D20" s="20">
        <f t="shared" si="1"/>
        <v>955.4140127</v>
      </c>
      <c r="E20" s="1">
        <v>1.0</v>
      </c>
    </row>
    <row r="21">
      <c r="A21" s="2">
        <v>46078.0</v>
      </c>
      <c r="B21" s="18">
        <v>0.0</v>
      </c>
      <c r="C21" s="18">
        <v>32.0</v>
      </c>
      <c r="D21" s="20">
        <f t="shared" si="1"/>
        <v>0</v>
      </c>
      <c r="E21" s="1">
        <v>1.0</v>
      </c>
    </row>
    <row r="22">
      <c r="A22" s="2">
        <v>46108.0</v>
      </c>
      <c r="B22" s="18">
        <v>5000.0</v>
      </c>
      <c r="C22" s="18">
        <v>32.89</v>
      </c>
      <c r="D22" s="20">
        <f t="shared" si="1"/>
        <v>152.0218912</v>
      </c>
      <c r="E22" s="1">
        <v>1.0</v>
      </c>
    </row>
    <row r="23">
      <c r="A23" s="2"/>
      <c r="B23" s="18"/>
      <c r="C23" s="18"/>
      <c r="D23" s="20"/>
    </row>
    <row r="24">
      <c r="A24" s="2"/>
      <c r="B24" s="18"/>
      <c r="C24" s="18"/>
      <c r="D24" s="20"/>
    </row>
    <row r="25">
      <c r="A25" s="2"/>
      <c r="B25" s="18"/>
      <c r="C25" s="18"/>
      <c r="D25" s="20"/>
    </row>
    <row r="26">
      <c r="B26" s="22"/>
      <c r="C26" s="22"/>
      <c r="D26" s="30"/>
    </row>
    <row r="27">
      <c r="B27" s="22"/>
      <c r="C27" s="22"/>
      <c r="D27" s="30"/>
    </row>
    <row r="28">
      <c r="A28" s="11"/>
      <c r="B28" s="27"/>
      <c r="C28" s="27"/>
      <c r="D28" s="28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3" t="s">
        <v>26</v>
      </c>
      <c r="B29" s="34">
        <f>sum(B2:B28)</f>
        <v>437500</v>
      </c>
      <c r="C29" s="22"/>
      <c r="D29" s="34">
        <f>sum(D2:D28)</f>
        <v>13144.57013</v>
      </c>
      <c r="F29" s="37"/>
    </row>
    <row r="30">
      <c r="A30" s="1" t="s">
        <v>27</v>
      </c>
      <c r="B30" s="8">
        <f>B29/C35</f>
        <v>0.4166666667</v>
      </c>
      <c r="C30" s="22"/>
      <c r="D30" s="8">
        <f>D29/C36</f>
        <v>0.4600599546</v>
      </c>
    </row>
    <row r="31">
      <c r="A31" s="1" t="s">
        <v>28</v>
      </c>
      <c r="B31" s="26">
        <f>B29/C34</f>
        <v>437500</v>
      </c>
      <c r="C31" s="22"/>
      <c r="D31" s="41"/>
    </row>
    <row r="32">
      <c r="A32" s="1"/>
      <c r="B32" s="41"/>
      <c r="C32" s="22"/>
      <c r="D32" s="41"/>
      <c r="I32" s="22"/>
    </row>
    <row r="33">
      <c r="A33" s="37" t="s">
        <v>26</v>
      </c>
      <c r="B33" s="22"/>
      <c r="C33" s="22"/>
      <c r="D33" s="30"/>
    </row>
    <row r="34">
      <c r="A34" s="1" t="s">
        <v>33</v>
      </c>
      <c r="B34" s="22"/>
      <c r="C34" s="18">
        <v>1.0</v>
      </c>
      <c r="D34" s="19" t="s">
        <v>16</v>
      </c>
    </row>
    <row r="35">
      <c r="A35" s="1" t="s">
        <v>35</v>
      </c>
      <c r="B35" s="22"/>
      <c r="C35" s="54">
        <v>1050000.0</v>
      </c>
      <c r="D35" s="19" t="s">
        <v>36</v>
      </c>
      <c r="G35" s="1"/>
    </row>
    <row r="36">
      <c r="A36" s="1" t="s">
        <v>38</v>
      </c>
      <c r="B36" s="22"/>
      <c r="C36" s="39">
        <f>C35/36.75</f>
        <v>28571.42857</v>
      </c>
      <c r="D36" s="19" t="s">
        <v>39</v>
      </c>
    </row>
    <row r="37">
      <c r="A37" s="1" t="s">
        <v>40</v>
      </c>
      <c r="B37" s="22"/>
      <c r="C37" s="18">
        <v>1050000.0</v>
      </c>
      <c r="D37" s="19" t="s">
        <v>36</v>
      </c>
      <c r="I37" s="25"/>
    </row>
    <row r="38">
      <c r="B38" s="22"/>
      <c r="C38" s="22"/>
      <c r="D38" s="30"/>
      <c r="G38" s="3"/>
    </row>
    <row r="39">
      <c r="A39" s="37"/>
      <c r="B39" s="22"/>
      <c r="C39" s="22"/>
      <c r="D39" s="30"/>
      <c r="G39" s="3"/>
      <c r="I39" s="41"/>
    </row>
    <row r="40">
      <c r="A40" s="37"/>
      <c r="B40" s="18"/>
      <c r="C40" s="18"/>
      <c r="D40" s="18"/>
      <c r="I40" s="22"/>
    </row>
    <row r="41">
      <c r="B41" s="18"/>
      <c r="C41" s="18"/>
      <c r="D41" s="18"/>
    </row>
    <row r="42">
      <c r="B42" s="2"/>
      <c r="C42" s="2"/>
      <c r="D42" s="30"/>
    </row>
    <row r="43">
      <c r="B43" s="18"/>
      <c r="C43" s="18"/>
      <c r="D43" s="18"/>
    </row>
    <row r="44">
      <c r="B44" s="22"/>
      <c r="C44" s="18"/>
      <c r="D44" s="19"/>
    </row>
    <row r="45">
      <c r="B45" s="22"/>
      <c r="C45" s="22"/>
      <c r="D45" s="19"/>
    </row>
    <row r="46">
      <c r="B46" s="22"/>
      <c r="C46" s="22"/>
      <c r="D46" s="30"/>
    </row>
    <row r="47">
      <c r="A47" s="37"/>
      <c r="B47" s="22"/>
      <c r="C47" s="22"/>
      <c r="D47" s="30"/>
    </row>
    <row r="48">
      <c r="A48" s="37"/>
      <c r="B48" s="22"/>
      <c r="C48" s="22"/>
      <c r="D48" s="30"/>
    </row>
    <row r="49">
      <c r="B49" s="18"/>
      <c r="C49" s="18"/>
      <c r="D49" s="18"/>
    </row>
    <row r="50">
      <c r="B50" s="22"/>
      <c r="C50" s="2"/>
      <c r="D50" s="30"/>
    </row>
    <row r="51">
      <c r="B51" s="18"/>
      <c r="C51" s="18"/>
      <c r="D51" s="18"/>
    </row>
    <row r="52">
      <c r="B52" s="22"/>
      <c r="C52" s="18"/>
      <c r="D52" s="18"/>
    </row>
    <row r="53">
      <c r="B53" s="22"/>
      <c r="C53" s="18"/>
      <c r="D53" s="19"/>
    </row>
    <row r="54">
      <c r="B54" s="22"/>
      <c r="C54" s="22"/>
      <c r="D54" s="30"/>
    </row>
    <row r="55">
      <c r="B55" s="22"/>
      <c r="C55" s="22"/>
      <c r="D55" s="30"/>
    </row>
    <row r="56">
      <c r="B56" s="22"/>
      <c r="C56" s="22"/>
      <c r="D56" s="30"/>
    </row>
    <row r="57">
      <c r="B57" s="22"/>
      <c r="C57" s="22"/>
      <c r="D57" s="30"/>
    </row>
    <row r="58">
      <c r="B58" s="22"/>
      <c r="C58" s="22"/>
      <c r="D58" s="30"/>
    </row>
    <row r="59">
      <c r="B59" s="22"/>
      <c r="C59" s="22"/>
      <c r="D59" s="30"/>
    </row>
    <row r="60">
      <c r="B60" s="22"/>
      <c r="C60" s="22"/>
      <c r="D60" s="30"/>
    </row>
    <row r="61">
      <c r="B61" s="22"/>
      <c r="C61" s="22"/>
      <c r="D61" s="30"/>
    </row>
    <row r="62">
      <c r="B62" s="22"/>
      <c r="C62" s="22"/>
      <c r="D62" s="30"/>
    </row>
    <row r="63">
      <c r="B63" s="22"/>
      <c r="C63" s="22"/>
      <c r="D63" s="30"/>
    </row>
    <row r="64">
      <c r="B64" s="22"/>
      <c r="C64" s="22"/>
      <c r="D64" s="30"/>
    </row>
    <row r="65">
      <c r="B65" s="22"/>
      <c r="C65" s="22"/>
      <c r="D65" s="30"/>
    </row>
    <row r="66">
      <c r="B66" s="22"/>
      <c r="C66" s="22"/>
      <c r="D66" s="30"/>
    </row>
    <row r="67">
      <c r="B67" s="22"/>
      <c r="C67" s="22"/>
      <c r="D67" s="30"/>
    </row>
    <row r="68">
      <c r="B68" s="22"/>
      <c r="C68" s="22"/>
      <c r="D68" s="30"/>
    </row>
    <row r="69">
      <c r="B69" s="22"/>
      <c r="C69" s="22"/>
      <c r="D69" s="30"/>
    </row>
    <row r="70">
      <c r="B70" s="22"/>
      <c r="C70" s="22"/>
      <c r="D70" s="30"/>
    </row>
    <row r="71">
      <c r="B71" s="22"/>
      <c r="C71" s="22"/>
      <c r="D71" s="30"/>
    </row>
    <row r="72">
      <c r="B72" s="22"/>
      <c r="C72" s="22"/>
      <c r="D72" s="30"/>
    </row>
    <row r="73">
      <c r="B73" s="22"/>
      <c r="C73" s="22"/>
      <c r="D73" s="30"/>
    </row>
    <row r="74">
      <c r="B74" s="22"/>
      <c r="C74" s="22"/>
      <c r="D74" s="30"/>
    </row>
    <row r="75">
      <c r="B75" s="22"/>
      <c r="C75" s="22"/>
      <c r="D75" s="30"/>
    </row>
    <row r="76">
      <c r="B76" s="22"/>
      <c r="C76" s="22"/>
      <c r="D76" s="30"/>
    </row>
    <row r="77">
      <c r="B77" s="22"/>
      <c r="C77" s="22"/>
      <c r="D77" s="30"/>
    </row>
    <row r="78">
      <c r="B78" s="22"/>
      <c r="C78" s="22"/>
      <c r="D78" s="30"/>
    </row>
    <row r="79">
      <c r="B79" s="22"/>
      <c r="C79" s="22"/>
      <c r="D79" s="30"/>
    </row>
    <row r="80">
      <c r="B80" s="22"/>
      <c r="C80" s="22"/>
      <c r="D80" s="30"/>
    </row>
    <row r="81">
      <c r="B81" s="22"/>
      <c r="C81" s="22"/>
      <c r="D81" s="30"/>
    </row>
    <row r="82">
      <c r="B82" s="22"/>
      <c r="C82" s="22"/>
      <c r="D82" s="30"/>
    </row>
    <row r="83">
      <c r="B83" s="22"/>
      <c r="C83" s="22"/>
      <c r="D83" s="30"/>
    </row>
    <row r="84">
      <c r="B84" s="22"/>
      <c r="C84" s="22"/>
      <c r="D84" s="30"/>
    </row>
    <row r="85">
      <c r="B85" s="22"/>
      <c r="C85" s="22"/>
      <c r="D85" s="30"/>
    </row>
    <row r="86">
      <c r="B86" s="22"/>
      <c r="C86" s="22"/>
      <c r="D86" s="30"/>
    </row>
    <row r="87">
      <c r="B87" s="22"/>
      <c r="C87" s="22"/>
      <c r="D87" s="30"/>
    </row>
    <row r="88">
      <c r="B88" s="22"/>
      <c r="C88" s="22"/>
      <c r="D88" s="30"/>
    </row>
    <row r="89">
      <c r="B89" s="22"/>
      <c r="C89" s="22"/>
      <c r="D89" s="30"/>
    </row>
    <row r="90">
      <c r="B90" s="22"/>
      <c r="C90" s="22"/>
      <c r="D90" s="30"/>
    </row>
    <row r="91">
      <c r="B91" s="22"/>
      <c r="C91" s="22"/>
      <c r="D91" s="30"/>
    </row>
    <row r="92">
      <c r="B92" s="22"/>
      <c r="C92" s="22"/>
      <c r="D92" s="30"/>
    </row>
    <row r="93">
      <c r="B93" s="22"/>
      <c r="C93" s="22"/>
      <c r="D93" s="30"/>
    </row>
    <row r="94">
      <c r="B94" s="22"/>
      <c r="C94" s="22"/>
      <c r="D94" s="30"/>
    </row>
    <row r="95">
      <c r="B95" s="22"/>
      <c r="C95" s="22"/>
      <c r="D95" s="30"/>
    </row>
    <row r="96">
      <c r="B96" s="22"/>
      <c r="C96" s="22"/>
      <c r="D96" s="30"/>
    </row>
    <row r="97">
      <c r="B97" s="22"/>
      <c r="C97" s="22"/>
      <c r="D97" s="30"/>
    </row>
    <row r="98">
      <c r="B98" s="22"/>
      <c r="C98" s="22"/>
      <c r="D98" s="30"/>
    </row>
    <row r="99">
      <c r="B99" s="22"/>
      <c r="C99" s="22"/>
      <c r="D99" s="30"/>
    </row>
    <row r="100">
      <c r="B100" s="22"/>
      <c r="C100" s="22"/>
      <c r="D100" s="30"/>
    </row>
    <row r="101">
      <c r="B101" s="22"/>
      <c r="C101" s="22"/>
      <c r="D101" s="30"/>
    </row>
    <row r="102">
      <c r="B102" s="22"/>
      <c r="C102" s="22"/>
      <c r="D102" s="30"/>
    </row>
    <row r="103">
      <c r="B103" s="22"/>
      <c r="C103" s="22"/>
      <c r="D103" s="30"/>
    </row>
    <row r="104">
      <c r="B104" s="22"/>
      <c r="C104" s="22"/>
      <c r="D104" s="30"/>
    </row>
    <row r="105">
      <c r="B105" s="22"/>
      <c r="C105" s="22"/>
      <c r="D105" s="30"/>
    </row>
    <row r="106">
      <c r="B106" s="22"/>
      <c r="C106" s="22"/>
      <c r="D106" s="30"/>
    </row>
    <row r="107">
      <c r="B107" s="22"/>
      <c r="C107" s="22"/>
      <c r="D107" s="30"/>
    </row>
    <row r="108">
      <c r="B108" s="22"/>
      <c r="C108" s="22"/>
      <c r="D108" s="30"/>
    </row>
    <row r="109">
      <c r="B109" s="22"/>
      <c r="C109" s="22"/>
      <c r="D109" s="30"/>
    </row>
    <row r="110">
      <c r="B110" s="22"/>
      <c r="C110" s="22"/>
      <c r="D110" s="30"/>
    </row>
    <row r="111">
      <c r="B111" s="22"/>
      <c r="C111" s="22"/>
      <c r="D111" s="30"/>
    </row>
    <row r="112">
      <c r="B112" s="22"/>
      <c r="C112" s="22"/>
      <c r="D112" s="30"/>
    </row>
    <row r="113">
      <c r="B113" s="22"/>
      <c r="C113" s="22"/>
      <c r="D113" s="30"/>
    </row>
    <row r="114">
      <c r="B114" s="22"/>
      <c r="C114" s="22"/>
      <c r="D114" s="30"/>
    </row>
    <row r="115">
      <c r="B115" s="22"/>
      <c r="C115" s="22"/>
      <c r="D115" s="30"/>
    </row>
    <row r="116">
      <c r="B116" s="22"/>
      <c r="C116" s="22"/>
      <c r="D116" s="30"/>
    </row>
    <row r="117">
      <c r="B117" s="22"/>
      <c r="C117" s="22"/>
      <c r="D117" s="30"/>
    </row>
    <row r="118">
      <c r="B118" s="22"/>
      <c r="C118" s="22"/>
      <c r="D118" s="30"/>
    </row>
    <row r="119">
      <c r="B119" s="22"/>
      <c r="C119" s="22"/>
      <c r="D119" s="30"/>
    </row>
    <row r="120">
      <c r="B120" s="22"/>
      <c r="C120" s="22"/>
      <c r="D120" s="30"/>
    </row>
    <row r="121">
      <c r="B121" s="22"/>
      <c r="C121" s="22"/>
      <c r="D121" s="30"/>
    </row>
    <row r="122">
      <c r="B122" s="22"/>
      <c r="C122" s="22"/>
      <c r="D122" s="30"/>
    </row>
    <row r="123">
      <c r="B123" s="22"/>
      <c r="C123" s="22"/>
      <c r="D123" s="30"/>
    </row>
    <row r="124">
      <c r="B124" s="22"/>
      <c r="C124" s="22"/>
      <c r="D124" s="30"/>
    </row>
    <row r="125">
      <c r="B125" s="22"/>
      <c r="C125" s="22"/>
      <c r="D125" s="30"/>
    </row>
    <row r="126">
      <c r="B126" s="22"/>
      <c r="C126" s="22"/>
      <c r="D126" s="30"/>
    </row>
    <row r="127">
      <c r="B127" s="22"/>
      <c r="C127" s="22"/>
      <c r="D127" s="30"/>
    </row>
    <row r="128">
      <c r="B128" s="22"/>
      <c r="C128" s="22"/>
      <c r="D128" s="30"/>
    </row>
    <row r="129">
      <c r="B129" s="22"/>
      <c r="C129" s="22"/>
      <c r="D129" s="30"/>
    </row>
    <row r="130">
      <c r="B130" s="22"/>
      <c r="C130" s="22"/>
      <c r="D130" s="30"/>
    </row>
    <row r="131">
      <c r="B131" s="22"/>
      <c r="C131" s="22"/>
      <c r="D131" s="30"/>
    </row>
    <row r="132">
      <c r="B132" s="22"/>
      <c r="C132" s="22"/>
      <c r="D132" s="30"/>
    </row>
    <row r="133">
      <c r="B133" s="22"/>
      <c r="C133" s="22"/>
      <c r="D133" s="30"/>
    </row>
    <row r="134">
      <c r="B134" s="22"/>
      <c r="C134" s="22"/>
      <c r="D134" s="30"/>
    </row>
    <row r="135">
      <c r="B135" s="22"/>
      <c r="C135" s="22"/>
      <c r="D135" s="30"/>
    </row>
    <row r="136">
      <c r="B136" s="22"/>
      <c r="C136" s="22"/>
      <c r="D136" s="30"/>
    </row>
    <row r="137">
      <c r="B137" s="22"/>
      <c r="C137" s="22"/>
      <c r="D137" s="30"/>
    </row>
    <row r="138">
      <c r="B138" s="22"/>
      <c r="C138" s="22"/>
      <c r="D138" s="30"/>
    </row>
    <row r="139">
      <c r="B139" s="22"/>
      <c r="C139" s="22"/>
      <c r="D139" s="30"/>
    </row>
    <row r="140">
      <c r="B140" s="22"/>
      <c r="C140" s="22"/>
      <c r="D140" s="30"/>
    </row>
    <row r="141">
      <c r="B141" s="22"/>
      <c r="C141" s="22"/>
      <c r="D141" s="30"/>
    </row>
    <row r="142">
      <c r="B142" s="22"/>
      <c r="C142" s="22"/>
      <c r="D142" s="30"/>
    </row>
    <row r="143">
      <c r="B143" s="22"/>
      <c r="C143" s="22"/>
      <c r="D143" s="30"/>
    </row>
    <row r="144">
      <c r="B144" s="22"/>
      <c r="C144" s="22"/>
      <c r="D144" s="30"/>
    </row>
    <row r="145">
      <c r="B145" s="22"/>
      <c r="C145" s="22"/>
      <c r="D145" s="30"/>
    </row>
    <row r="146">
      <c r="B146" s="22"/>
      <c r="C146" s="22"/>
      <c r="D146" s="30"/>
    </row>
    <row r="147">
      <c r="B147" s="22"/>
      <c r="C147" s="22"/>
      <c r="D147" s="30"/>
    </row>
    <row r="148">
      <c r="B148" s="22"/>
      <c r="C148" s="22"/>
      <c r="D148" s="30"/>
    </row>
    <row r="149">
      <c r="B149" s="22"/>
      <c r="C149" s="22"/>
      <c r="D149" s="30"/>
    </row>
    <row r="150">
      <c r="B150" s="22"/>
      <c r="C150" s="22"/>
      <c r="D150" s="30"/>
    </row>
    <row r="151">
      <c r="B151" s="22"/>
      <c r="C151" s="22"/>
      <c r="D151" s="30"/>
    </row>
    <row r="152">
      <c r="B152" s="22"/>
      <c r="C152" s="22"/>
      <c r="D152" s="30"/>
    </row>
    <row r="153">
      <c r="B153" s="22"/>
      <c r="C153" s="22"/>
      <c r="D153" s="30"/>
    </row>
    <row r="154">
      <c r="B154" s="22"/>
      <c r="C154" s="22"/>
      <c r="D154" s="30"/>
    </row>
    <row r="155">
      <c r="B155" s="22"/>
      <c r="C155" s="22"/>
      <c r="D155" s="30"/>
    </row>
    <row r="156">
      <c r="B156" s="22"/>
      <c r="C156" s="22"/>
      <c r="D156" s="30"/>
    </row>
    <row r="157">
      <c r="B157" s="22"/>
      <c r="C157" s="22"/>
      <c r="D157" s="30"/>
    </row>
    <row r="158">
      <c r="B158" s="22"/>
      <c r="C158" s="22"/>
      <c r="D158" s="30"/>
    </row>
    <row r="159">
      <c r="B159" s="22"/>
      <c r="C159" s="22"/>
      <c r="D159" s="30"/>
    </row>
    <row r="160">
      <c r="B160" s="22"/>
      <c r="C160" s="22"/>
      <c r="D160" s="30"/>
    </row>
    <row r="161">
      <c r="B161" s="22"/>
      <c r="C161" s="22"/>
      <c r="D161" s="30"/>
    </row>
    <row r="162">
      <c r="B162" s="22"/>
      <c r="C162" s="22"/>
      <c r="D162" s="30"/>
    </row>
    <row r="163">
      <c r="B163" s="22"/>
      <c r="C163" s="22"/>
      <c r="D163" s="30"/>
    </row>
    <row r="164">
      <c r="B164" s="22"/>
      <c r="C164" s="22"/>
      <c r="D164" s="30"/>
    </row>
    <row r="165">
      <c r="B165" s="22"/>
      <c r="C165" s="22"/>
      <c r="D165" s="30"/>
    </row>
    <row r="166">
      <c r="B166" s="22"/>
      <c r="C166" s="22"/>
      <c r="D166" s="30"/>
    </row>
    <row r="167">
      <c r="B167" s="22"/>
      <c r="C167" s="22"/>
      <c r="D167" s="30"/>
    </row>
    <row r="168">
      <c r="B168" s="22"/>
      <c r="C168" s="22"/>
      <c r="D168" s="30"/>
    </row>
    <row r="169">
      <c r="B169" s="22"/>
      <c r="C169" s="22"/>
      <c r="D169" s="30"/>
    </row>
    <row r="170">
      <c r="B170" s="22"/>
      <c r="C170" s="22"/>
      <c r="D170" s="30"/>
    </row>
    <row r="171">
      <c r="B171" s="22"/>
      <c r="C171" s="22"/>
      <c r="D171" s="30"/>
    </row>
    <row r="172">
      <c r="B172" s="22"/>
      <c r="C172" s="22"/>
      <c r="D172" s="30"/>
    </row>
    <row r="173">
      <c r="B173" s="22"/>
      <c r="C173" s="22"/>
      <c r="D173" s="30"/>
    </row>
    <row r="174">
      <c r="B174" s="22"/>
      <c r="C174" s="22"/>
      <c r="D174" s="30"/>
    </row>
    <row r="175">
      <c r="B175" s="22"/>
      <c r="C175" s="22"/>
      <c r="D175" s="30"/>
    </row>
    <row r="176">
      <c r="B176" s="22"/>
      <c r="C176" s="22"/>
      <c r="D176" s="30"/>
    </row>
    <row r="177">
      <c r="B177" s="22"/>
      <c r="C177" s="22"/>
      <c r="D177" s="30"/>
    </row>
    <row r="178">
      <c r="B178" s="22"/>
      <c r="C178" s="22"/>
      <c r="D178" s="30"/>
    </row>
    <row r="179">
      <c r="B179" s="22"/>
      <c r="C179" s="22"/>
      <c r="D179" s="30"/>
    </row>
    <row r="180">
      <c r="B180" s="22"/>
      <c r="C180" s="22"/>
      <c r="D180" s="30"/>
    </row>
    <row r="181">
      <c r="B181" s="22"/>
      <c r="C181" s="22"/>
      <c r="D181" s="30"/>
    </row>
    <row r="182">
      <c r="B182" s="22"/>
      <c r="C182" s="22"/>
      <c r="D182" s="30"/>
    </row>
    <row r="183">
      <c r="B183" s="22"/>
      <c r="C183" s="22"/>
      <c r="D183" s="30"/>
    </row>
    <row r="184">
      <c r="B184" s="22"/>
      <c r="C184" s="22"/>
      <c r="D184" s="30"/>
    </row>
    <row r="185">
      <c r="B185" s="22"/>
      <c r="C185" s="22"/>
      <c r="D185" s="30"/>
    </row>
    <row r="186">
      <c r="B186" s="22"/>
      <c r="C186" s="22"/>
      <c r="D186" s="30"/>
    </row>
    <row r="187">
      <c r="B187" s="22"/>
      <c r="C187" s="22"/>
      <c r="D187" s="30"/>
    </row>
    <row r="188">
      <c r="B188" s="22"/>
      <c r="C188" s="22"/>
      <c r="D188" s="30"/>
    </row>
    <row r="189">
      <c r="B189" s="22"/>
      <c r="C189" s="22"/>
      <c r="D189" s="30"/>
    </row>
    <row r="190">
      <c r="B190" s="22"/>
      <c r="C190" s="22"/>
      <c r="D190" s="30"/>
    </row>
    <row r="191">
      <c r="B191" s="22"/>
      <c r="C191" s="22"/>
      <c r="D191" s="30"/>
    </row>
    <row r="192">
      <c r="B192" s="22"/>
      <c r="C192" s="22"/>
      <c r="D192" s="30"/>
    </row>
    <row r="193">
      <c r="B193" s="22"/>
      <c r="C193" s="22"/>
      <c r="D193" s="30"/>
    </row>
    <row r="194">
      <c r="B194" s="22"/>
      <c r="C194" s="22"/>
      <c r="D194" s="30"/>
    </row>
    <row r="195">
      <c r="B195" s="22"/>
      <c r="C195" s="22"/>
      <c r="D195" s="30"/>
    </row>
    <row r="196">
      <c r="B196" s="22"/>
      <c r="C196" s="22"/>
      <c r="D196" s="30"/>
    </row>
    <row r="197">
      <c r="B197" s="22"/>
      <c r="C197" s="22"/>
      <c r="D197" s="30"/>
    </row>
    <row r="198">
      <c r="B198" s="22"/>
      <c r="C198" s="22"/>
      <c r="D198" s="30"/>
    </row>
    <row r="199">
      <c r="B199" s="22"/>
      <c r="C199" s="22"/>
      <c r="D199" s="30"/>
    </row>
    <row r="200">
      <c r="B200" s="22"/>
      <c r="C200" s="22"/>
      <c r="D200" s="30"/>
    </row>
    <row r="201">
      <c r="B201" s="22"/>
      <c r="C201" s="22"/>
      <c r="D201" s="30"/>
    </row>
    <row r="202">
      <c r="B202" s="22"/>
      <c r="C202" s="22"/>
      <c r="D202" s="30"/>
    </row>
    <row r="203">
      <c r="B203" s="22"/>
      <c r="C203" s="22"/>
      <c r="D203" s="30"/>
    </row>
    <row r="204">
      <c r="B204" s="22"/>
      <c r="C204" s="22"/>
      <c r="D204" s="30"/>
    </row>
    <row r="205">
      <c r="B205" s="22"/>
      <c r="C205" s="22"/>
      <c r="D205" s="30"/>
    </row>
    <row r="206">
      <c r="B206" s="22"/>
      <c r="C206" s="22"/>
      <c r="D206" s="30"/>
    </row>
    <row r="207">
      <c r="B207" s="22"/>
      <c r="C207" s="22"/>
      <c r="D207" s="30"/>
    </row>
    <row r="208">
      <c r="B208" s="22"/>
      <c r="C208" s="22"/>
      <c r="D208" s="30"/>
    </row>
    <row r="209">
      <c r="B209" s="22"/>
      <c r="C209" s="22"/>
      <c r="D209" s="30"/>
    </row>
    <row r="210">
      <c r="B210" s="22"/>
      <c r="C210" s="22"/>
      <c r="D210" s="30"/>
    </row>
    <row r="211">
      <c r="B211" s="22"/>
      <c r="C211" s="22"/>
      <c r="D211" s="30"/>
    </row>
    <row r="212">
      <c r="B212" s="22"/>
      <c r="C212" s="22"/>
      <c r="D212" s="30"/>
    </row>
    <row r="213">
      <c r="B213" s="22"/>
      <c r="C213" s="22"/>
      <c r="D213" s="30"/>
    </row>
    <row r="214">
      <c r="B214" s="22"/>
      <c r="C214" s="22"/>
      <c r="D214" s="30"/>
    </row>
    <row r="215">
      <c r="B215" s="22"/>
      <c r="C215" s="22"/>
      <c r="D215" s="30"/>
    </row>
    <row r="216">
      <c r="B216" s="22"/>
      <c r="C216" s="22"/>
      <c r="D216" s="30"/>
    </row>
    <row r="217">
      <c r="B217" s="22"/>
      <c r="C217" s="22"/>
      <c r="D217" s="30"/>
    </row>
    <row r="218">
      <c r="B218" s="22"/>
      <c r="C218" s="22"/>
      <c r="D218" s="30"/>
    </row>
    <row r="219">
      <c r="B219" s="22"/>
      <c r="C219" s="22"/>
      <c r="D219" s="30"/>
    </row>
    <row r="220">
      <c r="B220" s="22"/>
      <c r="C220" s="22"/>
      <c r="D220" s="30"/>
    </row>
    <row r="221">
      <c r="B221" s="22"/>
      <c r="C221" s="22"/>
      <c r="D221" s="30"/>
    </row>
    <row r="222">
      <c r="B222" s="22"/>
      <c r="C222" s="22"/>
      <c r="D222" s="30"/>
    </row>
    <row r="223">
      <c r="B223" s="22"/>
      <c r="C223" s="22"/>
      <c r="D223" s="30"/>
    </row>
    <row r="224">
      <c r="B224" s="22"/>
      <c r="C224" s="22"/>
      <c r="D224" s="30"/>
    </row>
    <row r="225">
      <c r="B225" s="22"/>
      <c r="C225" s="22"/>
      <c r="D225" s="30"/>
    </row>
    <row r="226">
      <c r="B226" s="22"/>
      <c r="C226" s="22"/>
      <c r="D226" s="30"/>
    </row>
    <row r="227">
      <c r="B227" s="22"/>
      <c r="C227" s="22"/>
      <c r="D227" s="30"/>
    </row>
    <row r="228">
      <c r="B228" s="22"/>
      <c r="C228" s="22"/>
      <c r="D228" s="30"/>
    </row>
    <row r="229">
      <c r="B229" s="22"/>
      <c r="C229" s="22"/>
      <c r="D229" s="30"/>
    </row>
    <row r="230">
      <c r="B230" s="22"/>
      <c r="C230" s="22"/>
      <c r="D230" s="30"/>
    </row>
    <row r="231">
      <c r="B231" s="22"/>
      <c r="C231" s="22"/>
      <c r="D231" s="30"/>
    </row>
    <row r="232">
      <c r="B232" s="22"/>
      <c r="C232" s="22"/>
      <c r="D232" s="30"/>
    </row>
    <row r="233">
      <c r="B233" s="22"/>
      <c r="C233" s="22"/>
      <c r="D233" s="30"/>
    </row>
    <row r="234">
      <c r="B234" s="22"/>
      <c r="C234" s="22"/>
      <c r="D234" s="30"/>
    </row>
    <row r="235">
      <c r="B235" s="22"/>
      <c r="C235" s="22"/>
      <c r="D235" s="30"/>
    </row>
    <row r="236">
      <c r="B236" s="22"/>
      <c r="C236" s="22"/>
      <c r="D236" s="30"/>
    </row>
    <row r="237">
      <c r="B237" s="22"/>
      <c r="C237" s="22"/>
      <c r="D237" s="30"/>
    </row>
    <row r="238">
      <c r="B238" s="22"/>
      <c r="C238" s="22"/>
      <c r="D238" s="30"/>
    </row>
    <row r="239">
      <c r="B239" s="22"/>
      <c r="C239" s="22"/>
      <c r="D239" s="30"/>
    </row>
    <row r="240">
      <c r="B240" s="22"/>
      <c r="C240" s="22"/>
      <c r="D240" s="30"/>
    </row>
    <row r="241">
      <c r="B241" s="22"/>
      <c r="C241" s="22"/>
      <c r="D241" s="30"/>
    </row>
    <row r="242">
      <c r="B242" s="22"/>
      <c r="C242" s="22"/>
      <c r="D242" s="30"/>
    </row>
    <row r="243">
      <c r="B243" s="22"/>
      <c r="C243" s="22"/>
      <c r="D243" s="30"/>
    </row>
    <row r="244">
      <c r="B244" s="22"/>
      <c r="C244" s="22"/>
      <c r="D244" s="30"/>
    </row>
    <row r="245">
      <c r="B245" s="22"/>
      <c r="C245" s="22"/>
      <c r="D245" s="30"/>
    </row>
    <row r="246">
      <c r="B246" s="22"/>
      <c r="C246" s="22"/>
      <c r="D246" s="30"/>
    </row>
    <row r="247">
      <c r="B247" s="22"/>
      <c r="C247" s="22"/>
      <c r="D247" s="30"/>
    </row>
    <row r="248">
      <c r="B248" s="22"/>
      <c r="C248" s="22"/>
      <c r="D248" s="30"/>
    </row>
    <row r="249">
      <c r="B249" s="22"/>
      <c r="C249" s="22"/>
      <c r="D249" s="30"/>
    </row>
    <row r="250">
      <c r="B250" s="22"/>
      <c r="C250" s="22"/>
      <c r="D250" s="30"/>
    </row>
    <row r="251">
      <c r="B251" s="22"/>
      <c r="C251" s="22"/>
      <c r="D251" s="30"/>
    </row>
    <row r="252">
      <c r="B252" s="22"/>
      <c r="C252" s="22"/>
      <c r="D252" s="30"/>
    </row>
    <row r="253">
      <c r="B253" s="22"/>
      <c r="C253" s="22"/>
      <c r="D253" s="30"/>
    </row>
    <row r="254">
      <c r="B254" s="22"/>
      <c r="C254" s="22"/>
      <c r="D254" s="30"/>
    </row>
    <row r="255">
      <c r="B255" s="22"/>
      <c r="C255" s="22"/>
      <c r="D255" s="30"/>
    </row>
    <row r="256">
      <c r="B256" s="22"/>
      <c r="C256" s="22"/>
      <c r="D256" s="30"/>
    </row>
    <row r="257">
      <c r="B257" s="22"/>
      <c r="C257" s="22"/>
      <c r="D257" s="30"/>
    </row>
    <row r="258">
      <c r="B258" s="22"/>
      <c r="C258" s="22"/>
      <c r="D258" s="30"/>
    </row>
    <row r="259">
      <c r="B259" s="22"/>
      <c r="C259" s="22"/>
      <c r="D259" s="30"/>
    </row>
    <row r="260">
      <c r="B260" s="22"/>
      <c r="C260" s="22"/>
      <c r="D260" s="30"/>
    </row>
    <row r="261">
      <c r="B261" s="22"/>
      <c r="C261" s="22"/>
      <c r="D261" s="30"/>
    </row>
    <row r="262">
      <c r="B262" s="22"/>
      <c r="C262" s="22"/>
      <c r="D262" s="30"/>
    </row>
    <row r="263">
      <c r="B263" s="22"/>
      <c r="C263" s="22"/>
      <c r="D263" s="30"/>
    </row>
    <row r="264">
      <c r="B264" s="22"/>
      <c r="C264" s="22"/>
      <c r="D264" s="30"/>
    </row>
    <row r="265">
      <c r="B265" s="22"/>
      <c r="C265" s="22"/>
      <c r="D265" s="30"/>
    </row>
    <row r="266">
      <c r="B266" s="22"/>
      <c r="C266" s="22"/>
      <c r="D266" s="30"/>
    </row>
    <row r="267">
      <c r="B267" s="22"/>
      <c r="C267" s="22"/>
      <c r="D267" s="30"/>
    </row>
    <row r="268">
      <c r="B268" s="22"/>
      <c r="C268" s="22"/>
      <c r="D268" s="30"/>
    </row>
    <row r="269">
      <c r="B269" s="22"/>
      <c r="C269" s="22"/>
      <c r="D269" s="30"/>
    </row>
    <row r="270">
      <c r="B270" s="22"/>
      <c r="C270" s="22"/>
      <c r="D270" s="30"/>
    </row>
    <row r="271">
      <c r="B271" s="22"/>
      <c r="C271" s="22"/>
      <c r="D271" s="30"/>
    </row>
    <row r="272">
      <c r="B272" s="22"/>
      <c r="C272" s="22"/>
      <c r="D272" s="30"/>
    </row>
    <row r="273">
      <c r="B273" s="22"/>
      <c r="C273" s="22"/>
      <c r="D273" s="30"/>
    </row>
    <row r="274">
      <c r="B274" s="22"/>
      <c r="C274" s="22"/>
      <c r="D274" s="30"/>
    </row>
    <row r="275">
      <c r="B275" s="22"/>
      <c r="C275" s="22"/>
      <c r="D275" s="30"/>
    </row>
    <row r="276">
      <c r="B276" s="22"/>
      <c r="C276" s="22"/>
      <c r="D276" s="30"/>
    </row>
    <row r="277">
      <c r="B277" s="22"/>
      <c r="C277" s="22"/>
      <c r="D277" s="30"/>
    </row>
    <row r="278">
      <c r="B278" s="22"/>
      <c r="C278" s="22"/>
      <c r="D278" s="30"/>
    </row>
    <row r="279">
      <c r="B279" s="22"/>
      <c r="C279" s="22"/>
      <c r="D279" s="30"/>
    </row>
    <row r="280">
      <c r="B280" s="22"/>
      <c r="C280" s="22"/>
      <c r="D280" s="30"/>
    </row>
    <row r="281">
      <c r="B281" s="22"/>
      <c r="C281" s="22"/>
      <c r="D281" s="30"/>
    </row>
    <row r="282">
      <c r="B282" s="22"/>
      <c r="C282" s="22"/>
      <c r="D282" s="30"/>
    </row>
    <row r="283">
      <c r="B283" s="22"/>
      <c r="C283" s="22"/>
      <c r="D283" s="30"/>
    </row>
    <row r="284">
      <c r="B284" s="22"/>
      <c r="C284" s="22"/>
      <c r="D284" s="30"/>
    </row>
    <row r="285">
      <c r="B285" s="22"/>
      <c r="C285" s="22"/>
      <c r="D285" s="30"/>
    </row>
    <row r="286">
      <c r="B286" s="22"/>
      <c r="C286" s="22"/>
      <c r="D286" s="30"/>
    </row>
    <row r="287">
      <c r="B287" s="22"/>
      <c r="C287" s="22"/>
      <c r="D287" s="30"/>
    </row>
    <row r="288">
      <c r="B288" s="22"/>
      <c r="C288" s="22"/>
      <c r="D288" s="30"/>
    </row>
    <row r="289">
      <c r="B289" s="22"/>
      <c r="C289" s="22"/>
      <c r="D289" s="30"/>
    </row>
    <row r="290">
      <c r="B290" s="22"/>
      <c r="C290" s="22"/>
      <c r="D290" s="30"/>
    </row>
    <row r="291">
      <c r="B291" s="22"/>
      <c r="C291" s="22"/>
      <c r="D291" s="30"/>
    </row>
    <row r="292">
      <c r="B292" s="22"/>
      <c r="C292" s="22"/>
      <c r="D292" s="30"/>
    </row>
    <row r="293">
      <c r="B293" s="22"/>
      <c r="C293" s="22"/>
      <c r="D293" s="30"/>
    </row>
    <row r="294">
      <c r="B294" s="22"/>
      <c r="C294" s="22"/>
      <c r="D294" s="30"/>
    </row>
    <row r="295">
      <c r="B295" s="22"/>
      <c r="C295" s="22"/>
      <c r="D295" s="30"/>
    </row>
    <row r="296">
      <c r="B296" s="22"/>
      <c r="C296" s="22"/>
      <c r="D296" s="30"/>
    </row>
    <row r="297">
      <c r="B297" s="22"/>
      <c r="C297" s="22"/>
      <c r="D297" s="30"/>
    </row>
    <row r="298">
      <c r="B298" s="22"/>
      <c r="C298" s="22"/>
      <c r="D298" s="30"/>
    </row>
    <row r="299">
      <c r="B299" s="22"/>
      <c r="C299" s="22"/>
      <c r="D299" s="30"/>
    </row>
    <row r="300">
      <c r="B300" s="22"/>
      <c r="C300" s="22"/>
      <c r="D300" s="30"/>
    </row>
    <row r="301">
      <c r="B301" s="22"/>
      <c r="C301" s="22"/>
      <c r="D301" s="30"/>
    </row>
    <row r="302">
      <c r="B302" s="22"/>
      <c r="C302" s="22"/>
      <c r="D302" s="30"/>
    </row>
    <row r="303">
      <c r="B303" s="22"/>
      <c r="C303" s="22"/>
      <c r="D303" s="30"/>
    </row>
    <row r="304">
      <c r="B304" s="22"/>
      <c r="C304" s="22"/>
      <c r="D304" s="30"/>
    </row>
    <row r="305">
      <c r="B305" s="22"/>
      <c r="C305" s="22"/>
      <c r="D305" s="30"/>
    </row>
    <row r="306">
      <c r="B306" s="22"/>
      <c r="C306" s="22"/>
      <c r="D306" s="30"/>
    </row>
    <row r="307">
      <c r="B307" s="22"/>
      <c r="C307" s="22"/>
      <c r="D307" s="30"/>
    </row>
    <row r="308">
      <c r="B308" s="22"/>
      <c r="C308" s="22"/>
      <c r="D308" s="30"/>
    </row>
    <row r="309">
      <c r="B309" s="22"/>
      <c r="C309" s="22"/>
      <c r="D309" s="30"/>
    </row>
    <row r="310">
      <c r="B310" s="22"/>
      <c r="C310" s="22"/>
      <c r="D310" s="30"/>
    </row>
    <row r="311">
      <c r="B311" s="22"/>
      <c r="C311" s="22"/>
      <c r="D311" s="30"/>
    </row>
    <row r="312">
      <c r="B312" s="22"/>
      <c r="C312" s="22"/>
      <c r="D312" s="30"/>
    </row>
    <row r="313">
      <c r="B313" s="22"/>
      <c r="C313" s="22"/>
      <c r="D313" s="30"/>
    </row>
    <row r="314">
      <c r="B314" s="22"/>
      <c r="C314" s="22"/>
      <c r="D314" s="30"/>
    </row>
    <row r="315">
      <c r="B315" s="22"/>
      <c r="C315" s="22"/>
      <c r="D315" s="30"/>
    </row>
    <row r="316">
      <c r="B316" s="22"/>
      <c r="C316" s="22"/>
      <c r="D316" s="30"/>
    </row>
    <row r="317">
      <c r="B317" s="22"/>
      <c r="C317" s="22"/>
      <c r="D317" s="30"/>
    </row>
    <row r="318">
      <c r="B318" s="22"/>
      <c r="C318" s="22"/>
      <c r="D318" s="30"/>
    </row>
    <row r="319">
      <c r="B319" s="22"/>
      <c r="C319" s="22"/>
      <c r="D319" s="30"/>
    </row>
    <row r="320">
      <c r="B320" s="22"/>
      <c r="C320" s="22"/>
      <c r="D320" s="30"/>
    </row>
    <row r="321">
      <c r="B321" s="22"/>
      <c r="C321" s="22"/>
      <c r="D321" s="30"/>
    </row>
    <row r="322">
      <c r="B322" s="22"/>
      <c r="C322" s="22"/>
      <c r="D322" s="30"/>
    </row>
    <row r="323">
      <c r="B323" s="22"/>
      <c r="C323" s="22"/>
      <c r="D323" s="30"/>
    </row>
    <row r="324">
      <c r="B324" s="22"/>
      <c r="C324" s="22"/>
      <c r="D324" s="30"/>
    </row>
    <row r="325">
      <c r="B325" s="22"/>
      <c r="C325" s="22"/>
      <c r="D325" s="30"/>
    </row>
    <row r="326">
      <c r="B326" s="22"/>
      <c r="C326" s="22"/>
      <c r="D326" s="30"/>
    </row>
    <row r="327">
      <c r="B327" s="22"/>
      <c r="C327" s="22"/>
      <c r="D327" s="30"/>
    </row>
    <row r="328">
      <c r="B328" s="22"/>
      <c r="C328" s="22"/>
      <c r="D328" s="30"/>
    </row>
    <row r="329">
      <c r="B329" s="22"/>
      <c r="C329" s="22"/>
      <c r="D329" s="30"/>
    </row>
    <row r="330">
      <c r="B330" s="22"/>
      <c r="C330" s="22"/>
      <c r="D330" s="30"/>
    </row>
    <row r="331">
      <c r="B331" s="22"/>
      <c r="C331" s="22"/>
      <c r="D331" s="30"/>
    </row>
    <row r="332">
      <c r="B332" s="22"/>
      <c r="C332" s="22"/>
      <c r="D332" s="30"/>
    </row>
    <row r="333">
      <c r="B333" s="22"/>
      <c r="C333" s="22"/>
      <c r="D333" s="30"/>
    </row>
    <row r="334">
      <c r="B334" s="22"/>
      <c r="C334" s="22"/>
      <c r="D334" s="30"/>
    </row>
    <row r="335">
      <c r="B335" s="22"/>
      <c r="C335" s="22"/>
      <c r="D335" s="30"/>
    </row>
    <row r="336">
      <c r="B336" s="22"/>
      <c r="C336" s="22"/>
      <c r="D336" s="30"/>
    </row>
    <row r="337">
      <c r="B337" s="22"/>
      <c r="C337" s="22"/>
      <c r="D337" s="30"/>
    </row>
    <row r="338">
      <c r="B338" s="22"/>
      <c r="C338" s="22"/>
      <c r="D338" s="30"/>
    </row>
    <row r="339">
      <c r="B339" s="22"/>
      <c r="C339" s="22"/>
      <c r="D339" s="30"/>
    </row>
    <row r="340">
      <c r="B340" s="22"/>
      <c r="C340" s="22"/>
      <c r="D340" s="30"/>
    </row>
    <row r="341">
      <c r="B341" s="22"/>
      <c r="C341" s="22"/>
      <c r="D341" s="30"/>
    </row>
    <row r="342">
      <c r="B342" s="22"/>
      <c r="C342" s="22"/>
      <c r="D342" s="30"/>
    </row>
    <row r="343">
      <c r="B343" s="22"/>
      <c r="C343" s="22"/>
      <c r="D343" s="30"/>
    </row>
    <row r="344">
      <c r="B344" s="22"/>
      <c r="C344" s="22"/>
      <c r="D344" s="30"/>
    </row>
    <row r="345">
      <c r="B345" s="22"/>
      <c r="C345" s="22"/>
      <c r="D345" s="30"/>
    </row>
    <row r="346">
      <c r="B346" s="22"/>
      <c r="C346" s="22"/>
      <c r="D346" s="30"/>
    </row>
    <row r="347">
      <c r="B347" s="22"/>
      <c r="C347" s="22"/>
      <c r="D347" s="30"/>
    </row>
    <row r="348">
      <c r="B348" s="22"/>
      <c r="C348" s="22"/>
      <c r="D348" s="30"/>
    </row>
    <row r="349">
      <c r="B349" s="22"/>
      <c r="C349" s="22"/>
      <c r="D349" s="30"/>
    </row>
    <row r="350">
      <c r="B350" s="22"/>
      <c r="C350" s="22"/>
      <c r="D350" s="30"/>
    </row>
    <row r="351">
      <c r="B351" s="22"/>
      <c r="C351" s="22"/>
      <c r="D351" s="30"/>
    </row>
    <row r="352">
      <c r="B352" s="22"/>
      <c r="C352" s="22"/>
      <c r="D352" s="30"/>
    </row>
    <row r="353">
      <c r="B353" s="22"/>
      <c r="C353" s="22"/>
      <c r="D353" s="30"/>
    </row>
    <row r="354">
      <c r="B354" s="22"/>
      <c r="C354" s="22"/>
      <c r="D354" s="30"/>
    </row>
    <row r="355">
      <c r="B355" s="22"/>
      <c r="C355" s="22"/>
      <c r="D355" s="30"/>
    </row>
    <row r="356">
      <c r="B356" s="22"/>
      <c r="C356" s="22"/>
      <c r="D356" s="30"/>
    </row>
    <row r="357">
      <c r="B357" s="22"/>
      <c r="C357" s="22"/>
      <c r="D357" s="30"/>
    </row>
    <row r="358">
      <c r="B358" s="22"/>
      <c r="C358" s="22"/>
      <c r="D358" s="30"/>
    </row>
    <row r="359">
      <c r="B359" s="22"/>
      <c r="C359" s="22"/>
      <c r="D359" s="30"/>
    </row>
    <row r="360">
      <c r="B360" s="22"/>
      <c r="C360" s="22"/>
      <c r="D360" s="30"/>
    </row>
    <row r="361">
      <c r="B361" s="22"/>
      <c r="C361" s="22"/>
      <c r="D361" s="30"/>
    </row>
    <row r="362">
      <c r="B362" s="22"/>
      <c r="C362" s="22"/>
      <c r="D362" s="30"/>
    </row>
    <row r="363">
      <c r="B363" s="22"/>
      <c r="C363" s="22"/>
      <c r="D363" s="30"/>
    </row>
    <row r="364">
      <c r="B364" s="22"/>
      <c r="C364" s="22"/>
      <c r="D364" s="30"/>
    </row>
    <row r="365">
      <c r="B365" s="22"/>
      <c r="C365" s="22"/>
      <c r="D365" s="30"/>
    </row>
    <row r="366">
      <c r="B366" s="22"/>
      <c r="C366" s="22"/>
      <c r="D366" s="30"/>
    </row>
    <row r="367">
      <c r="B367" s="22"/>
      <c r="C367" s="22"/>
      <c r="D367" s="30"/>
    </row>
    <row r="368">
      <c r="B368" s="22"/>
      <c r="C368" s="22"/>
      <c r="D368" s="30"/>
    </row>
    <row r="369">
      <c r="B369" s="22"/>
      <c r="C369" s="22"/>
      <c r="D369" s="30"/>
    </row>
    <row r="370">
      <c r="B370" s="22"/>
      <c r="C370" s="22"/>
      <c r="D370" s="30"/>
    </row>
    <row r="371">
      <c r="B371" s="22"/>
      <c r="C371" s="22"/>
      <c r="D371" s="30"/>
    </row>
    <row r="372">
      <c r="B372" s="22"/>
      <c r="C372" s="22"/>
      <c r="D372" s="30"/>
    </row>
    <row r="373">
      <c r="B373" s="22"/>
      <c r="C373" s="22"/>
      <c r="D373" s="30"/>
    </row>
    <row r="374">
      <c r="B374" s="22"/>
      <c r="C374" s="22"/>
      <c r="D374" s="30"/>
    </row>
    <row r="375">
      <c r="B375" s="22"/>
      <c r="C375" s="22"/>
      <c r="D375" s="30"/>
    </row>
    <row r="376">
      <c r="B376" s="22"/>
      <c r="C376" s="22"/>
      <c r="D376" s="30"/>
    </row>
    <row r="377">
      <c r="B377" s="22"/>
      <c r="C377" s="22"/>
      <c r="D377" s="30"/>
    </row>
    <row r="378">
      <c r="B378" s="22"/>
      <c r="C378" s="22"/>
      <c r="D378" s="30"/>
    </row>
    <row r="379">
      <c r="B379" s="22"/>
      <c r="C379" s="22"/>
      <c r="D379" s="30"/>
    </row>
    <row r="380">
      <c r="B380" s="22"/>
      <c r="C380" s="22"/>
      <c r="D380" s="30"/>
    </row>
    <row r="381">
      <c r="B381" s="22"/>
      <c r="C381" s="22"/>
      <c r="D381" s="30"/>
    </row>
    <row r="382">
      <c r="B382" s="22"/>
      <c r="C382" s="22"/>
      <c r="D382" s="30"/>
    </row>
    <row r="383">
      <c r="B383" s="22"/>
      <c r="C383" s="22"/>
      <c r="D383" s="30"/>
    </row>
    <row r="384">
      <c r="B384" s="22"/>
      <c r="C384" s="22"/>
      <c r="D384" s="30"/>
    </row>
    <row r="385">
      <c r="B385" s="22"/>
      <c r="C385" s="22"/>
      <c r="D385" s="30"/>
    </row>
    <row r="386">
      <c r="B386" s="22"/>
      <c r="C386" s="22"/>
      <c r="D386" s="30"/>
    </row>
    <row r="387">
      <c r="B387" s="22"/>
      <c r="C387" s="22"/>
      <c r="D387" s="30"/>
    </row>
    <row r="388">
      <c r="B388" s="22"/>
      <c r="C388" s="22"/>
      <c r="D388" s="30"/>
    </row>
    <row r="389">
      <c r="B389" s="22"/>
      <c r="C389" s="22"/>
      <c r="D389" s="30"/>
    </row>
    <row r="390">
      <c r="B390" s="22"/>
      <c r="C390" s="22"/>
      <c r="D390" s="30"/>
    </row>
    <row r="391">
      <c r="B391" s="22"/>
      <c r="C391" s="22"/>
      <c r="D391" s="30"/>
    </row>
    <row r="392">
      <c r="B392" s="22"/>
      <c r="C392" s="22"/>
      <c r="D392" s="30"/>
    </row>
    <row r="393">
      <c r="B393" s="22"/>
      <c r="C393" s="22"/>
      <c r="D393" s="30"/>
    </row>
    <row r="394">
      <c r="B394" s="22"/>
      <c r="C394" s="22"/>
      <c r="D394" s="30"/>
    </row>
    <row r="395">
      <c r="B395" s="22"/>
      <c r="C395" s="22"/>
      <c r="D395" s="30"/>
    </row>
    <row r="396">
      <c r="B396" s="22"/>
      <c r="C396" s="22"/>
      <c r="D396" s="30"/>
    </row>
    <row r="397">
      <c r="B397" s="22"/>
      <c r="C397" s="22"/>
      <c r="D397" s="30"/>
    </row>
    <row r="398">
      <c r="B398" s="22"/>
      <c r="C398" s="22"/>
      <c r="D398" s="30"/>
    </row>
    <row r="399">
      <c r="B399" s="22"/>
      <c r="C399" s="22"/>
      <c r="D399" s="30"/>
    </row>
    <row r="400">
      <c r="B400" s="22"/>
      <c r="C400" s="22"/>
      <c r="D400" s="30"/>
    </row>
    <row r="401">
      <c r="B401" s="22"/>
      <c r="C401" s="22"/>
      <c r="D401" s="30"/>
    </row>
    <row r="402">
      <c r="B402" s="22"/>
      <c r="C402" s="22"/>
      <c r="D402" s="30"/>
    </row>
    <row r="403">
      <c r="B403" s="22"/>
      <c r="C403" s="22"/>
      <c r="D403" s="30"/>
    </row>
    <row r="404">
      <c r="B404" s="22"/>
      <c r="C404" s="22"/>
      <c r="D404" s="30"/>
    </row>
    <row r="405">
      <c r="B405" s="22"/>
      <c r="C405" s="22"/>
      <c r="D405" s="30"/>
    </row>
    <row r="406">
      <c r="B406" s="22"/>
      <c r="C406" s="22"/>
      <c r="D406" s="30"/>
    </row>
    <row r="407">
      <c r="B407" s="22"/>
      <c r="C407" s="22"/>
      <c r="D407" s="30"/>
    </row>
    <row r="408">
      <c r="B408" s="22"/>
      <c r="C408" s="22"/>
      <c r="D408" s="30"/>
    </row>
    <row r="409">
      <c r="B409" s="22"/>
      <c r="C409" s="22"/>
      <c r="D409" s="30"/>
    </row>
    <row r="410">
      <c r="B410" s="22"/>
      <c r="C410" s="22"/>
      <c r="D410" s="30"/>
    </row>
    <row r="411">
      <c r="B411" s="22"/>
      <c r="C411" s="22"/>
      <c r="D411" s="30"/>
    </row>
    <row r="412">
      <c r="B412" s="22"/>
      <c r="C412" s="22"/>
      <c r="D412" s="30"/>
    </row>
    <row r="413">
      <c r="B413" s="22"/>
      <c r="C413" s="22"/>
      <c r="D413" s="30"/>
    </row>
    <row r="414">
      <c r="B414" s="22"/>
      <c r="C414" s="22"/>
      <c r="D414" s="30"/>
    </row>
    <row r="415">
      <c r="B415" s="22"/>
      <c r="C415" s="22"/>
      <c r="D415" s="30"/>
    </row>
    <row r="416">
      <c r="B416" s="22"/>
      <c r="C416" s="22"/>
      <c r="D416" s="30"/>
    </row>
    <row r="417">
      <c r="B417" s="22"/>
      <c r="C417" s="22"/>
      <c r="D417" s="30"/>
    </row>
    <row r="418">
      <c r="B418" s="22"/>
      <c r="C418" s="22"/>
      <c r="D418" s="30"/>
    </row>
    <row r="419">
      <c r="B419" s="22"/>
      <c r="C419" s="22"/>
      <c r="D419" s="30"/>
    </row>
    <row r="420">
      <c r="B420" s="22"/>
      <c r="C420" s="22"/>
      <c r="D420" s="30"/>
    </row>
    <row r="421">
      <c r="B421" s="22"/>
      <c r="C421" s="22"/>
      <c r="D421" s="30"/>
    </row>
    <row r="422">
      <c r="B422" s="22"/>
      <c r="C422" s="22"/>
      <c r="D422" s="30"/>
    </row>
    <row r="423">
      <c r="B423" s="22"/>
      <c r="C423" s="22"/>
      <c r="D423" s="30"/>
    </row>
    <row r="424">
      <c r="B424" s="22"/>
      <c r="C424" s="22"/>
      <c r="D424" s="30"/>
    </row>
    <row r="425">
      <c r="B425" s="22"/>
      <c r="C425" s="22"/>
      <c r="D425" s="30"/>
    </row>
    <row r="426">
      <c r="B426" s="22"/>
      <c r="C426" s="22"/>
      <c r="D426" s="30"/>
    </row>
    <row r="427">
      <c r="B427" s="22"/>
      <c r="C427" s="22"/>
      <c r="D427" s="30"/>
    </row>
    <row r="428">
      <c r="B428" s="22"/>
      <c r="C428" s="22"/>
      <c r="D428" s="30"/>
    </row>
    <row r="429">
      <c r="B429" s="22"/>
      <c r="C429" s="22"/>
      <c r="D429" s="30"/>
    </row>
    <row r="430">
      <c r="B430" s="22"/>
      <c r="C430" s="22"/>
      <c r="D430" s="30"/>
    </row>
    <row r="431">
      <c r="B431" s="22"/>
      <c r="C431" s="22"/>
      <c r="D431" s="30"/>
    </row>
    <row r="432">
      <c r="B432" s="22"/>
      <c r="C432" s="22"/>
      <c r="D432" s="30"/>
    </row>
    <row r="433">
      <c r="B433" s="22"/>
      <c r="C433" s="22"/>
      <c r="D433" s="30"/>
    </row>
    <row r="434">
      <c r="B434" s="22"/>
      <c r="C434" s="22"/>
      <c r="D434" s="30"/>
    </row>
    <row r="435">
      <c r="B435" s="22"/>
      <c r="C435" s="22"/>
      <c r="D435" s="30"/>
    </row>
    <row r="436">
      <c r="B436" s="22"/>
      <c r="C436" s="22"/>
      <c r="D436" s="30"/>
    </row>
    <row r="437">
      <c r="B437" s="22"/>
      <c r="C437" s="22"/>
      <c r="D437" s="30"/>
    </row>
    <row r="438">
      <c r="B438" s="22"/>
      <c r="C438" s="22"/>
      <c r="D438" s="30"/>
    </row>
    <row r="439">
      <c r="B439" s="22"/>
      <c r="C439" s="22"/>
      <c r="D439" s="30"/>
    </row>
    <row r="440">
      <c r="B440" s="22"/>
      <c r="C440" s="22"/>
      <c r="D440" s="30"/>
    </row>
    <row r="441">
      <c r="B441" s="22"/>
      <c r="C441" s="22"/>
      <c r="D441" s="30"/>
    </row>
    <row r="442">
      <c r="B442" s="22"/>
      <c r="C442" s="22"/>
      <c r="D442" s="30"/>
    </row>
    <row r="443">
      <c r="B443" s="22"/>
      <c r="C443" s="22"/>
      <c r="D443" s="30"/>
    </row>
    <row r="444">
      <c r="B444" s="22"/>
      <c r="C444" s="22"/>
      <c r="D444" s="30"/>
    </row>
    <row r="445">
      <c r="B445" s="22"/>
      <c r="C445" s="22"/>
      <c r="D445" s="30"/>
    </row>
    <row r="446">
      <c r="B446" s="22"/>
      <c r="C446" s="22"/>
      <c r="D446" s="30"/>
    </row>
    <row r="447">
      <c r="B447" s="22"/>
      <c r="C447" s="22"/>
      <c r="D447" s="30"/>
    </row>
    <row r="448">
      <c r="B448" s="22"/>
      <c r="C448" s="22"/>
      <c r="D448" s="30"/>
    </row>
    <row r="449">
      <c r="B449" s="22"/>
      <c r="C449" s="22"/>
      <c r="D449" s="30"/>
    </row>
    <row r="450">
      <c r="B450" s="22"/>
      <c r="C450" s="22"/>
      <c r="D450" s="30"/>
    </row>
    <row r="451">
      <c r="B451" s="22"/>
      <c r="C451" s="22"/>
      <c r="D451" s="30"/>
    </row>
    <row r="452">
      <c r="B452" s="22"/>
      <c r="C452" s="22"/>
      <c r="D452" s="30"/>
    </row>
    <row r="453">
      <c r="B453" s="22"/>
      <c r="C453" s="22"/>
      <c r="D453" s="30"/>
    </row>
    <row r="454">
      <c r="B454" s="22"/>
      <c r="C454" s="22"/>
      <c r="D454" s="30"/>
    </row>
    <row r="455">
      <c r="B455" s="22"/>
      <c r="C455" s="22"/>
      <c r="D455" s="30"/>
    </row>
    <row r="456">
      <c r="B456" s="22"/>
      <c r="C456" s="22"/>
      <c r="D456" s="30"/>
    </row>
    <row r="457">
      <c r="B457" s="22"/>
      <c r="C457" s="22"/>
      <c r="D457" s="30"/>
    </row>
    <row r="458">
      <c r="B458" s="22"/>
      <c r="C458" s="22"/>
      <c r="D458" s="30"/>
    </row>
    <row r="459">
      <c r="B459" s="22"/>
      <c r="C459" s="22"/>
      <c r="D459" s="30"/>
    </row>
    <row r="460">
      <c r="B460" s="22"/>
      <c r="C460" s="22"/>
      <c r="D460" s="30"/>
    </row>
    <row r="461">
      <c r="B461" s="22"/>
      <c r="C461" s="22"/>
      <c r="D461" s="30"/>
    </row>
    <row r="462">
      <c r="B462" s="22"/>
      <c r="C462" s="22"/>
      <c r="D462" s="30"/>
    </row>
    <row r="463">
      <c r="B463" s="22"/>
      <c r="C463" s="22"/>
      <c r="D463" s="30"/>
    </row>
    <row r="464">
      <c r="B464" s="22"/>
      <c r="C464" s="22"/>
      <c r="D464" s="30"/>
    </row>
    <row r="465">
      <c r="B465" s="22"/>
      <c r="C465" s="22"/>
      <c r="D465" s="30"/>
    </row>
    <row r="466">
      <c r="B466" s="22"/>
      <c r="C466" s="22"/>
      <c r="D466" s="30"/>
    </row>
    <row r="467">
      <c r="B467" s="22"/>
      <c r="C467" s="22"/>
      <c r="D467" s="30"/>
    </row>
    <row r="468">
      <c r="B468" s="22"/>
      <c r="C468" s="22"/>
      <c r="D468" s="30"/>
    </row>
    <row r="469">
      <c r="B469" s="22"/>
      <c r="C469" s="22"/>
      <c r="D469" s="30"/>
    </row>
    <row r="470">
      <c r="B470" s="22"/>
      <c r="C470" s="22"/>
      <c r="D470" s="30"/>
    </row>
    <row r="471">
      <c r="B471" s="22"/>
      <c r="C471" s="22"/>
      <c r="D471" s="30"/>
    </row>
    <row r="472">
      <c r="B472" s="22"/>
      <c r="C472" s="22"/>
      <c r="D472" s="30"/>
    </row>
    <row r="473">
      <c r="B473" s="22"/>
      <c r="C473" s="22"/>
      <c r="D473" s="30"/>
    </row>
    <row r="474">
      <c r="B474" s="22"/>
      <c r="C474" s="22"/>
      <c r="D474" s="30"/>
    </row>
    <row r="475">
      <c r="B475" s="22"/>
      <c r="C475" s="22"/>
      <c r="D475" s="30"/>
    </row>
    <row r="476">
      <c r="B476" s="22"/>
      <c r="C476" s="22"/>
      <c r="D476" s="30"/>
    </row>
    <row r="477">
      <c r="B477" s="22"/>
      <c r="C477" s="22"/>
      <c r="D477" s="30"/>
    </row>
    <row r="478">
      <c r="B478" s="22"/>
      <c r="C478" s="22"/>
      <c r="D478" s="30"/>
    </row>
    <row r="479">
      <c r="B479" s="22"/>
      <c r="C479" s="22"/>
      <c r="D479" s="30"/>
    </row>
    <row r="480">
      <c r="B480" s="22"/>
      <c r="C480" s="22"/>
      <c r="D480" s="30"/>
    </row>
    <row r="481">
      <c r="B481" s="22"/>
      <c r="C481" s="22"/>
      <c r="D481" s="30"/>
    </row>
    <row r="482">
      <c r="B482" s="22"/>
      <c r="C482" s="22"/>
      <c r="D482" s="30"/>
    </row>
    <row r="483">
      <c r="B483" s="22"/>
      <c r="C483" s="22"/>
      <c r="D483" s="30"/>
    </row>
    <row r="484">
      <c r="B484" s="22"/>
      <c r="C484" s="22"/>
      <c r="D484" s="30"/>
    </row>
    <row r="485">
      <c r="B485" s="22"/>
      <c r="C485" s="22"/>
      <c r="D485" s="30"/>
    </row>
    <row r="486">
      <c r="B486" s="22"/>
      <c r="C486" s="22"/>
      <c r="D486" s="30"/>
    </row>
    <row r="487">
      <c r="B487" s="22"/>
      <c r="C487" s="22"/>
      <c r="D487" s="30"/>
    </row>
    <row r="488">
      <c r="B488" s="22"/>
      <c r="C488" s="22"/>
      <c r="D488" s="30"/>
    </row>
    <row r="489">
      <c r="B489" s="22"/>
      <c r="C489" s="22"/>
      <c r="D489" s="30"/>
    </row>
    <row r="490">
      <c r="B490" s="22"/>
      <c r="C490" s="22"/>
      <c r="D490" s="30"/>
    </row>
    <row r="491">
      <c r="B491" s="22"/>
      <c r="C491" s="22"/>
      <c r="D491" s="30"/>
    </row>
    <row r="492">
      <c r="B492" s="22"/>
      <c r="C492" s="22"/>
      <c r="D492" s="30"/>
    </row>
    <row r="493">
      <c r="B493" s="22"/>
      <c r="C493" s="22"/>
      <c r="D493" s="30"/>
    </row>
    <row r="494">
      <c r="B494" s="22"/>
      <c r="C494" s="22"/>
      <c r="D494" s="30"/>
    </row>
    <row r="495">
      <c r="B495" s="22"/>
      <c r="C495" s="22"/>
      <c r="D495" s="30"/>
    </row>
    <row r="496">
      <c r="B496" s="22"/>
      <c r="C496" s="22"/>
      <c r="D496" s="30"/>
    </row>
    <row r="497">
      <c r="B497" s="22"/>
      <c r="C497" s="22"/>
      <c r="D497" s="30"/>
    </row>
    <row r="498">
      <c r="B498" s="22"/>
      <c r="C498" s="22"/>
      <c r="D498" s="30"/>
    </row>
    <row r="499">
      <c r="B499" s="22"/>
      <c r="C499" s="22"/>
      <c r="D499" s="30"/>
    </row>
    <row r="500">
      <c r="B500" s="22"/>
      <c r="C500" s="22"/>
      <c r="D500" s="30"/>
    </row>
    <row r="501">
      <c r="B501" s="22"/>
      <c r="C501" s="22"/>
      <c r="D501" s="30"/>
    </row>
    <row r="502">
      <c r="B502" s="22"/>
      <c r="C502" s="22"/>
      <c r="D502" s="30"/>
    </row>
    <row r="503">
      <c r="B503" s="22"/>
      <c r="C503" s="22"/>
      <c r="D503" s="30"/>
    </row>
    <row r="504">
      <c r="B504" s="22"/>
      <c r="C504" s="22"/>
      <c r="D504" s="30"/>
    </row>
    <row r="505">
      <c r="B505" s="22"/>
      <c r="C505" s="22"/>
      <c r="D505" s="30"/>
    </row>
    <row r="506">
      <c r="B506" s="22"/>
      <c r="C506" s="22"/>
      <c r="D506" s="30"/>
    </row>
    <row r="507">
      <c r="B507" s="22"/>
      <c r="C507" s="22"/>
      <c r="D507" s="30"/>
    </row>
    <row r="508">
      <c r="B508" s="22"/>
      <c r="C508" s="22"/>
      <c r="D508" s="30"/>
    </row>
    <row r="509">
      <c r="B509" s="22"/>
      <c r="C509" s="22"/>
      <c r="D509" s="30"/>
    </row>
    <row r="510">
      <c r="B510" s="22"/>
      <c r="C510" s="22"/>
      <c r="D510" s="30"/>
    </row>
    <row r="511">
      <c r="B511" s="22"/>
      <c r="C511" s="22"/>
      <c r="D511" s="30"/>
    </row>
    <row r="512">
      <c r="B512" s="22"/>
      <c r="C512" s="22"/>
      <c r="D512" s="30"/>
    </row>
    <row r="513">
      <c r="B513" s="22"/>
      <c r="C513" s="22"/>
      <c r="D513" s="30"/>
    </row>
    <row r="514">
      <c r="B514" s="22"/>
      <c r="C514" s="22"/>
      <c r="D514" s="30"/>
    </row>
    <row r="515">
      <c r="B515" s="22"/>
      <c r="C515" s="22"/>
      <c r="D515" s="30"/>
    </row>
    <row r="516">
      <c r="B516" s="22"/>
      <c r="C516" s="22"/>
      <c r="D516" s="30"/>
    </row>
    <row r="517">
      <c r="B517" s="22"/>
      <c r="C517" s="22"/>
      <c r="D517" s="30"/>
    </row>
    <row r="518">
      <c r="B518" s="22"/>
      <c r="C518" s="22"/>
      <c r="D518" s="30"/>
    </row>
    <row r="519">
      <c r="B519" s="22"/>
      <c r="C519" s="22"/>
      <c r="D519" s="30"/>
    </row>
    <row r="520">
      <c r="B520" s="22"/>
      <c r="C520" s="22"/>
      <c r="D520" s="30"/>
    </row>
    <row r="521">
      <c r="B521" s="22"/>
      <c r="C521" s="22"/>
      <c r="D521" s="30"/>
    </row>
    <row r="522">
      <c r="B522" s="22"/>
      <c r="C522" s="22"/>
      <c r="D522" s="30"/>
    </row>
    <row r="523">
      <c r="B523" s="22"/>
      <c r="C523" s="22"/>
      <c r="D523" s="30"/>
    </row>
    <row r="524">
      <c r="B524" s="22"/>
      <c r="C524" s="22"/>
      <c r="D524" s="30"/>
    </row>
    <row r="525">
      <c r="B525" s="22"/>
      <c r="C525" s="22"/>
      <c r="D525" s="30"/>
    </row>
    <row r="526">
      <c r="B526" s="22"/>
      <c r="C526" s="22"/>
      <c r="D526" s="30"/>
    </row>
    <row r="527">
      <c r="B527" s="22"/>
      <c r="C527" s="22"/>
      <c r="D527" s="30"/>
    </row>
    <row r="528">
      <c r="B528" s="22"/>
      <c r="C528" s="22"/>
      <c r="D528" s="30"/>
    </row>
    <row r="529">
      <c r="B529" s="22"/>
      <c r="C529" s="22"/>
      <c r="D529" s="30"/>
    </row>
    <row r="530">
      <c r="B530" s="22"/>
      <c r="C530" s="22"/>
      <c r="D530" s="30"/>
    </row>
    <row r="531">
      <c r="B531" s="22"/>
      <c r="C531" s="22"/>
      <c r="D531" s="30"/>
    </row>
    <row r="532">
      <c r="B532" s="22"/>
      <c r="C532" s="22"/>
      <c r="D532" s="30"/>
    </row>
    <row r="533">
      <c r="B533" s="22"/>
      <c r="C533" s="22"/>
      <c r="D533" s="30"/>
    </row>
    <row r="534">
      <c r="B534" s="22"/>
      <c r="C534" s="22"/>
      <c r="D534" s="30"/>
    </row>
    <row r="535">
      <c r="B535" s="22"/>
      <c r="C535" s="22"/>
      <c r="D535" s="30"/>
    </row>
    <row r="536">
      <c r="B536" s="22"/>
      <c r="C536" s="22"/>
      <c r="D536" s="30"/>
    </row>
    <row r="537">
      <c r="B537" s="22"/>
      <c r="C537" s="22"/>
      <c r="D537" s="30"/>
    </row>
    <row r="538">
      <c r="B538" s="22"/>
      <c r="C538" s="22"/>
      <c r="D538" s="30"/>
    </row>
    <row r="539">
      <c r="B539" s="22"/>
      <c r="C539" s="22"/>
      <c r="D539" s="30"/>
    </row>
    <row r="540">
      <c r="B540" s="22"/>
      <c r="C540" s="22"/>
      <c r="D540" s="30"/>
    </row>
    <row r="541">
      <c r="B541" s="22"/>
      <c r="C541" s="22"/>
      <c r="D541" s="30"/>
    </row>
    <row r="542">
      <c r="B542" s="22"/>
      <c r="C542" s="22"/>
      <c r="D542" s="30"/>
    </row>
    <row r="543">
      <c r="B543" s="22"/>
      <c r="C543" s="22"/>
      <c r="D543" s="30"/>
    </row>
    <row r="544">
      <c r="B544" s="22"/>
      <c r="C544" s="22"/>
      <c r="D544" s="30"/>
    </row>
    <row r="545">
      <c r="B545" s="22"/>
      <c r="C545" s="22"/>
      <c r="D545" s="30"/>
    </row>
    <row r="546">
      <c r="B546" s="22"/>
      <c r="C546" s="22"/>
      <c r="D546" s="30"/>
    </row>
    <row r="547">
      <c r="B547" s="22"/>
      <c r="C547" s="22"/>
      <c r="D547" s="30"/>
    </row>
    <row r="548">
      <c r="B548" s="22"/>
      <c r="C548" s="22"/>
      <c r="D548" s="30"/>
    </row>
    <row r="549">
      <c r="B549" s="22"/>
      <c r="C549" s="22"/>
      <c r="D549" s="30"/>
    </row>
    <row r="550">
      <c r="B550" s="22"/>
      <c r="C550" s="22"/>
      <c r="D550" s="30"/>
    </row>
    <row r="551">
      <c r="B551" s="22"/>
      <c r="C551" s="22"/>
      <c r="D551" s="30"/>
    </row>
    <row r="552">
      <c r="B552" s="22"/>
      <c r="C552" s="22"/>
      <c r="D552" s="30"/>
    </row>
    <row r="553">
      <c r="B553" s="22"/>
      <c r="C553" s="22"/>
      <c r="D553" s="30"/>
    </row>
    <row r="554">
      <c r="B554" s="22"/>
      <c r="C554" s="22"/>
      <c r="D554" s="30"/>
    </row>
    <row r="555">
      <c r="B555" s="22"/>
      <c r="C555" s="22"/>
      <c r="D555" s="30"/>
    </row>
    <row r="556">
      <c r="B556" s="22"/>
      <c r="C556" s="22"/>
      <c r="D556" s="30"/>
    </row>
    <row r="557">
      <c r="B557" s="22"/>
      <c r="C557" s="22"/>
      <c r="D557" s="30"/>
    </row>
    <row r="558">
      <c r="B558" s="22"/>
      <c r="C558" s="22"/>
      <c r="D558" s="30"/>
    </row>
    <row r="559">
      <c r="B559" s="22"/>
      <c r="C559" s="22"/>
      <c r="D559" s="30"/>
    </row>
    <row r="560">
      <c r="B560" s="22"/>
      <c r="C560" s="22"/>
      <c r="D560" s="30"/>
    </row>
    <row r="561">
      <c r="B561" s="22"/>
      <c r="C561" s="22"/>
      <c r="D561" s="30"/>
    </row>
    <row r="562">
      <c r="B562" s="22"/>
      <c r="C562" s="22"/>
      <c r="D562" s="30"/>
    </row>
    <row r="563">
      <c r="B563" s="22"/>
      <c r="C563" s="22"/>
      <c r="D563" s="30"/>
    </row>
    <row r="564">
      <c r="B564" s="22"/>
      <c r="C564" s="22"/>
      <c r="D564" s="30"/>
    </row>
    <row r="565">
      <c r="B565" s="22"/>
      <c r="C565" s="22"/>
      <c r="D565" s="30"/>
    </row>
    <row r="566">
      <c r="B566" s="22"/>
      <c r="C566" s="22"/>
      <c r="D566" s="30"/>
    </row>
    <row r="567">
      <c r="B567" s="22"/>
      <c r="C567" s="22"/>
      <c r="D567" s="30"/>
    </row>
    <row r="568">
      <c r="B568" s="22"/>
      <c r="C568" s="22"/>
      <c r="D568" s="30"/>
    </row>
    <row r="569">
      <c r="B569" s="22"/>
      <c r="C569" s="22"/>
      <c r="D569" s="30"/>
    </row>
    <row r="570">
      <c r="B570" s="22"/>
      <c r="C570" s="22"/>
      <c r="D570" s="30"/>
    </row>
    <row r="571">
      <c r="B571" s="22"/>
      <c r="C571" s="22"/>
      <c r="D571" s="30"/>
    </row>
    <row r="572">
      <c r="B572" s="22"/>
      <c r="C572" s="22"/>
      <c r="D572" s="30"/>
    </row>
    <row r="573">
      <c r="B573" s="22"/>
      <c r="C573" s="22"/>
      <c r="D573" s="30"/>
    </row>
    <row r="574">
      <c r="B574" s="22"/>
      <c r="C574" s="22"/>
      <c r="D574" s="30"/>
    </row>
    <row r="575">
      <c r="B575" s="22"/>
      <c r="C575" s="22"/>
      <c r="D575" s="30"/>
    </row>
    <row r="576">
      <c r="B576" s="22"/>
      <c r="C576" s="22"/>
      <c r="D576" s="30"/>
    </row>
    <row r="577">
      <c r="B577" s="22"/>
      <c r="C577" s="22"/>
      <c r="D577" s="30"/>
    </row>
    <row r="578">
      <c r="B578" s="22"/>
      <c r="C578" s="22"/>
      <c r="D578" s="30"/>
    </row>
    <row r="579">
      <c r="B579" s="22"/>
      <c r="C579" s="22"/>
      <c r="D579" s="30"/>
    </row>
    <row r="580">
      <c r="B580" s="22"/>
      <c r="C580" s="22"/>
      <c r="D580" s="30"/>
    </row>
    <row r="581">
      <c r="B581" s="22"/>
      <c r="C581" s="22"/>
      <c r="D581" s="30"/>
    </row>
    <row r="582">
      <c r="B582" s="22"/>
      <c r="C582" s="22"/>
      <c r="D582" s="30"/>
    </row>
    <row r="583">
      <c r="B583" s="22"/>
      <c r="C583" s="22"/>
      <c r="D583" s="30"/>
    </row>
    <row r="584">
      <c r="B584" s="22"/>
      <c r="C584" s="22"/>
      <c r="D584" s="30"/>
    </row>
    <row r="585">
      <c r="B585" s="22"/>
      <c r="C585" s="22"/>
      <c r="D585" s="30"/>
    </row>
    <row r="586">
      <c r="B586" s="22"/>
      <c r="C586" s="22"/>
      <c r="D586" s="30"/>
    </row>
    <row r="587">
      <c r="B587" s="22"/>
      <c r="C587" s="22"/>
      <c r="D587" s="30"/>
    </row>
    <row r="588">
      <c r="B588" s="22"/>
      <c r="C588" s="22"/>
      <c r="D588" s="30"/>
    </row>
    <row r="589">
      <c r="B589" s="22"/>
      <c r="C589" s="22"/>
      <c r="D589" s="30"/>
    </row>
    <row r="590">
      <c r="B590" s="22"/>
      <c r="C590" s="22"/>
      <c r="D590" s="30"/>
    </row>
    <row r="591">
      <c r="B591" s="22"/>
      <c r="C591" s="22"/>
      <c r="D591" s="30"/>
    </row>
    <row r="592">
      <c r="B592" s="22"/>
      <c r="C592" s="22"/>
      <c r="D592" s="30"/>
    </row>
    <row r="593">
      <c r="B593" s="22"/>
      <c r="C593" s="22"/>
      <c r="D593" s="30"/>
    </row>
    <row r="594">
      <c r="B594" s="22"/>
      <c r="C594" s="22"/>
      <c r="D594" s="30"/>
    </row>
    <row r="595">
      <c r="B595" s="22"/>
      <c r="C595" s="22"/>
      <c r="D595" s="30"/>
    </row>
    <row r="596">
      <c r="B596" s="22"/>
      <c r="C596" s="22"/>
      <c r="D596" s="30"/>
    </row>
    <row r="597">
      <c r="B597" s="22"/>
      <c r="C597" s="22"/>
      <c r="D597" s="30"/>
    </row>
    <row r="598">
      <c r="B598" s="22"/>
      <c r="C598" s="22"/>
      <c r="D598" s="30"/>
    </row>
    <row r="599">
      <c r="B599" s="22"/>
      <c r="C599" s="22"/>
      <c r="D599" s="30"/>
    </row>
    <row r="600">
      <c r="B600" s="22"/>
      <c r="C600" s="22"/>
      <c r="D600" s="30"/>
    </row>
    <row r="601">
      <c r="B601" s="22"/>
      <c r="C601" s="22"/>
      <c r="D601" s="30"/>
    </row>
    <row r="602">
      <c r="B602" s="22"/>
      <c r="C602" s="22"/>
      <c r="D602" s="30"/>
    </row>
    <row r="603">
      <c r="B603" s="22"/>
      <c r="C603" s="22"/>
      <c r="D603" s="30"/>
    </row>
    <row r="604">
      <c r="B604" s="22"/>
      <c r="C604" s="22"/>
      <c r="D604" s="30"/>
    </row>
    <row r="605">
      <c r="B605" s="22"/>
      <c r="C605" s="22"/>
      <c r="D605" s="30"/>
    </row>
    <row r="606">
      <c r="B606" s="22"/>
      <c r="C606" s="22"/>
      <c r="D606" s="30"/>
    </row>
    <row r="607">
      <c r="B607" s="22"/>
      <c r="C607" s="22"/>
      <c r="D607" s="30"/>
    </row>
    <row r="608">
      <c r="B608" s="22"/>
      <c r="C608" s="22"/>
      <c r="D608" s="30"/>
    </row>
    <row r="609">
      <c r="B609" s="22"/>
      <c r="C609" s="22"/>
      <c r="D609" s="30"/>
    </row>
    <row r="610">
      <c r="B610" s="22"/>
      <c r="C610" s="22"/>
      <c r="D610" s="30"/>
    </row>
    <row r="611">
      <c r="B611" s="22"/>
      <c r="C611" s="22"/>
      <c r="D611" s="30"/>
    </row>
    <row r="612">
      <c r="B612" s="22"/>
      <c r="C612" s="22"/>
      <c r="D612" s="30"/>
    </row>
    <row r="613">
      <c r="B613" s="22"/>
      <c r="C613" s="22"/>
      <c r="D613" s="30"/>
    </row>
    <row r="614">
      <c r="B614" s="22"/>
      <c r="C614" s="22"/>
      <c r="D614" s="30"/>
    </row>
    <row r="615">
      <c r="B615" s="22"/>
      <c r="C615" s="22"/>
      <c r="D615" s="30"/>
    </row>
    <row r="616">
      <c r="B616" s="22"/>
      <c r="C616" s="22"/>
      <c r="D616" s="30"/>
    </row>
    <row r="617">
      <c r="B617" s="22"/>
      <c r="C617" s="22"/>
      <c r="D617" s="30"/>
    </row>
    <row r="618">
      <c r="B618" s="22"/>
      <c r="C618" s="22"/>
      <c r="D618" s="30"/>
    </row>
    <row r="619">
      <c r="B619" s="22"/>
      <c r="C619" s="22"/>
      <c r="D619" s="30"/>
    </row>
    <row r="620">
      <c r="B620" s="22"/>
      <c r="C620" s="22"/>
      <c r="D620" s="30"/>
    </row>
    <row r="621">
      <c r="B621" s="22"/>
      <c r="C621" s="22"/>
      <c r="D621" s="30"/>
    </row>
    <row r="622">
      <c r="B622" s="22"/>
      <c r="C622" s="22"/>
      <c r="D622" s="30"/>
    </row>
    <row r="623">
      <c r="B623" s="22"/>
      <c r="C623" s="22"/>
      <c r="D623" s="30"/>
    </row>
    <row r="624">
      <c r="B624" s="22"/>
      <c r="C624" s="22"/>
      <c r="D624" s="30"/>
    </row>
    <row r="625">
      <c r="B625" s="22"/>
      <c r="C625" s="22"/>
      <c r="D625" s="30"/>
    </row>
    <row r="626">
      <c r="B626" s="22"/>
      <c r="C626" s="22"/>
      <c r="D626" s="30"/>
    </row>
    <row r="627">
      <c r="B627" s="22"/>
      <c r="C627" s="22"/>
      <c r="D627" s="30"/>
    </row>
    <row r="628">
      <c r="B628" s="22"/>
      <c r="C628" s="22"/>
      <c r="D628" s="30"/>
    </row>
    <row r="629">
      <c r="B629" s="22"/>
      <c r="C629" s="22"/>
      <c r="D629" s="30"/>
    </row>
    <row r="630">
      <c r="B630" s="22"/>
      <c r="C630" s="22"/>
      <c r="D630" s="30"/>
    </row>
    <row r="631">
      <c r="B631" s="22"/>
      <c r="C631" s="22"/>
      <c r="D631" s="30"/>
    </row>
    <row r="632">
      <c r="B632" s="22"/>
      <c r="C632" s="22"/>
      <c r="D632" s="30"/>
    </row>
    <row r="633">
      <c r="B633" s="22"/>
      <c r="C633" s="22"/>
      <c r="D633" s="30"/>
    </row>
    <row r="634">
      <c r="B634" s="22"/>
      <c r="C634" s="22"/>
      <c r="D634" s="30"/>
    </row>
    <row r="635">
      <c r="B635" s="22"/>
      <c r="C635" s="22"/>
      <c r="D635" s="30"/>
    </row>
    <row r="636">
      <c r="B636" s="22"/>
      <c r="C636" s="22"/>
      <c r="D636" s="30"/>
    </row>
    <row r="637">
      <c r="B637" s="22"/>
      <c r="C637" s="22"/>
      <c r="D637" s="30"/>
    </row>
    <row r="638">
      <c r="B638" s="22"/>
      <c r="C638" s="22"/>
      <c r="D638" s="30"/>
    </row>
    <row r="639">
      <c r="B639" s="22"/>
      <c r="C639" s="22"/>
      <c r="D639" s="30"/>
    </row>
    <row r="640">
      <c r="B640" s="22"/>
      <c r="C640" s="22"/>
      <c r="D640" s="30"/>
    </row>
    <row r="641">
      <c r="B641" s="22"/>
      <c r="C641" s="22"/>
      <c r="D641" s="30"/>
    </row>
    <row r="642">
      <c r="B642" s="22"/>
      <c r="C642" s="22"/>
      <c r="D642" s="30"/>
    </row>
    <row r="643">
      <c r="B643" s="22"/>
      <c r="C643" s="22"/>
      <c r="D643" s="30"/>
    </row>
    <row r="644">
      <c r="B644" s="22"/>
      <c r="C644" s="22"/>
      <c r="D644" s="30"/>
    </row>
    <row r="645">
      <c r="B645" s="22"/>
      <c r="C645" s="22"/>
      <c r="D645" s="30"/>
    </row>
    <row r="646">
      <c r="B646" s="22"/>
      <c r="C646" s="22"/>
      <c r="D646" s="30"/>
    </row>
    <row r="647">
      <c r="B647" s="22"/>
      <c r="C647" s="22"/>
      <c r="D647" s="30"/>
    </row>
    <row r="648">
      <c r="B648" s="22"/>
      <c r="C648" s="22"/>
      <c r="D648" s="30"/>
    </row>
    <row r="649">
      <c r="B649" s="22"/>
      <c r="C649" s="22"/>
      <c r="D649" s="30"/>
    </row>
    <row r="650">
      <c r="B650" s="22"/>
      <c r="C650" s="22"/>
      <c r="D650" s="30"/>
    </row>
    <row r="651">
      <c r="B651" s="22"/>
      <c r="C651" s="22"/>
      <c r="D651" s="30"/>
    </row>
    <row r="652">
      <c r="B652" s="22"/>
      <c r="C652" s="22"/>
      <c r="D652" s="30"/>
    </row>
    <row r="653">
      <c r="B653" s="22"/>
      <c r="C653" s="22"/>
      <c r="D653" s="30"/>
    </row>
    <row r="654">
      <c r="B654" s="22"/>
      <c r="C654" s="22"/>
      <c r="D654" s="30"/>
    </row>
    <row r="655">
      <c r="B655" s="22"/>
      <c r="C655" s="22"/>
      <c r="D655" s="30"/>
    </row>
    <row r="656">
      <c r="B656" s="22"/>
      <c r="C656" s="22"/>
      <c r="D656" s="30"/>
    </row>
    <row r="657">
      <c r="B657" s="22"/>
      <c r="C657" s="22"/>
      <c r="D657" s="30"/>
    </row>
    <row r="658">
      <c r="B658" s="22"/>
      <c r="C658" s="22"/>
      <c r="D658" s="30"/>
    </row>
    <row r="659">
      <c r="B659" s="22"/>
      <c r="C659" s="22"/>
      <c r="D659" s="30"/>
    </row>
    <row r="660">
      <c r="B660" s="22"/>
      <c r="C660" s="22"/>
      <c r="D660" s="30"/>
    </row>
    <row r="661">
      <c r="B661" s="22"/>
      <c r="C661" s="22"/>
      <c r="D661" s="30"/>
    </row>
    <row r="662">
      <c r="B662" s="22"/>
      <c r="C662" s="22"/>
      <c r="D662" s="30"/>
    </row>
    <row r="663">
      <c r="B663" s="22"/>
      <c r="C663" s="22"/>
      <c r="D663" s="30"/>
    </row>
    <row r="664">
      <c r="B664" s="22"/>
      <c r="C664" s="22"/>
      <c r="D664" s="30"/>
    </row>
    <row r="665">
      <c r="B665" s="22"/>
      <c r="C665" s="22"/>
      <c r="D665" s="30"/>
    </row>
    <row r="666">
      <c r="B666" s="22"/>
      <c r="C666" s="22"/>
      <c r="D666" s="30"/>
    </row>
    <row r="667">
      <c r="B667" s="22"/>
      <c r="C667" s="22"/>
      <c r="D667" s="30"/>
    </row>
    <row r="668">
      <c r="B668" s="22"/>
      <c r="C668" s="22"/>
      <c r="D668" s="30"/>
    </row>
    <row r="669">
      <c r="B669" s="22"/>
      <c r="C669" s="22"/>
      <c r="D669" s="30"/>
    </row>
    <row r="670">
      <c r="B670" s="22"/>
      <c r="C670" s="22"/>
      <c r="D670" s="30"/>
    </row>
    <row r="671">
      <c r="B671" s="22"/>
      <c r="C671" s="22"/>
      <c r="D671" s="30"/>
    </row>
    <row r="672">
      <c r="B672" s="22"/>
      <c r="C672" s="22"/>
      <c r="D672" s="30"/>
    </row>
    <row r="673">
      <c r="B673" s="22"/>
      <c r="C673" s="22"/>
      <c r="D673" s="30"/>
    </row>
    <row r="674">
      <c r="B674" s="22"/>
      <c r="C674" s="22"/>
      <c r="D674" s="30"/>
    </row>
    <row r="675">
      <c r="B675" s="22"/>
      <c r="C675" s="22"/>
      <c r="D675" s="30"/>
    </row>
    <row r="676">
      <c r="B676" s="22"/>
      <c r="C676" s="22"/>
      <c r="D676" s="30"/>
    </row>
    <row r="677">
      <c r="B677" s="22"/>
      <c r="C677" s="22"/>
      <c r="D677" s="30"/>
    </row>
    <row r="678">
      <c r="B678" s="22"/>
      <c r="C678" s="22"/>
      <c r="D678" s="30"/>
    </row>
    <row r="679">
      <c r="B679" s="22"/>
      <c r="C679" s="22"/>
      <c r="D679" s="30"/>
    </row>
    <row r="680">
      <c r="B680" s="22"/>
      <c r="C680" s="22"/>
      <c r="D680" s="30"/>
    </row>
    <row r="681">
      <c r="B681" s="22"/>
      <c r="C681" s="22"/>
      <c r="D681" s="30"/>
    </row>
    <row r="682">
      <c r="B682" s="22"/>
      <c r="C682" s="22"/>
      <c r="D682" s="30"/>
    </row>
    <row r="683">
      <c r="B683" s="22"/>
      <c r="C683" s="22"/>
      <c r="D683" s="30"/>
    </row>
    <row r="684">
      <c r="B684" s="22"/>
      <c r="C684" s="22"/>
      <c r="D684" s="30"/>
    </row>
    <row r="685">
      <c r="B685" s="22"/>
      <c r="C685" s="22"/>
      <c r="D685" s="30"/>
    </row>
    <row r="686">
      <c r="B686" s="22"/>
      <c r="C686" s="22"/>
      <c r="D686" s="30"/>
    </row>
    <row r="687">
      <c r="B687" s="22"/>
      <c r="C687" s="22"/>
      <c r="D687" s="30"/>
    </row>
    <row r="688">
      <c r="B688" s="22"/>
      <c r="C688" s="22"/>
      <c r="D688" s="30"/>
    </row>
    <row r="689">
      <c r="B689" s="22"/>
      <c r="C689" s="22"/>
      <c r="D689" s="30"/>
    </row>
    <row r="690">
      <c r="B690" s="22"/>
      <c r="C690" s="22"/>
      <c r="D690" s="30"/>
    </row>
    <row r="691">
      <c r="B691" s="22"/>
      <c r="C691" s="22"/>
      <c r="D691" s="30"/>
    </row>
    <row r="692">
      <c r="B692" s="22"/>
      <c r="C692" s="22"/>
      <c r="D692" s="30"/>
    </row>
    <row r="693">
      <c r="B693" s="22"/>
      <c r="C693" s="22"/>
      <c r="D693" s="30"/>
    </row>
    <row r="694">
      <c r="B694" s="22"/>
      <c r="C694" s="22"/>
      <c r="D694" s="30"/>
    </row>
    <row r="695">
      <c r="B695" s="22"/>
      <c r="C695" s="22"/>
      <c r="D695" s="30"/>
    </row>
    <row r="696">
      <c r="B696" s="22"/>
      <c r="C696" s="22"/>
      <c r="D696" s="30"/>
    </row>
    <row r="697">
      <c r="B697" s="22"/>
      <c r="C697" s="22"/>
      <c r="D697" s="30"/>
    </row>
    <row r="698">
      <c r="B698" s="22"/>
      <c r="C698" s="22"/>
      <c r="D698" s="30"/>
    </row>
    <row r="699">
      <c r="B699" s="22"/>
      <c r="C699" s="22"/>
      <c r="D699" s="30"/>
    </row>
    <row r="700">
      <c r="B700" s="22"/>
      <c r="C700" s="22"/>
      <c r="D700" s="30"/>
    </row>
    <row r="701">
      <c r="B701" s="22"/>
      <c r="C701" s="22"/>
      <c r="D701" s="30"/>
    </row>
    <row r="702">
      <c r="B702" s="22"/>
      <c r="C702" s="22"/>
      <c r="D702" s="30"/>
    </row>
    <row r="703">
      <c r="B703" s="22"/>
      <c r="C703" s="22"/>
      <c r="D703" s="30"/>
    </row>
    <row r="704">
      <c r="B704" s="22"/>
      <c r="C704" s="22"/>
      <c r="D704" s="30"/>
    </row>
    <row r="705">
      <c r="B705" s="22"/>
      <c r="C705" s="22"/>
      <c r="D705" s="30"/>
    </row>
    <row r="706">
      <c r="B706" s="22"/>
      <c r="C706" s="22"/>
      <c r="D706" s="30"/>
    </row>
    <row r="707">
      <c r="B707" s="22"/>
      <c r="C707" s="22"/>
      <c r="D707" s="30"/>
    </row>
    <row r="708">
      <c r="B708" s="22"/>
      <c r="C708" s="22"/>
      <c r="D708" s="30"/>
    </row>
    <row r="709">
      <c r="B709" s="22"/>
      <c r="C709" s="22"/>
      <c r="D709" s="30"/>
    </row>
    <row r="710">
      <c r="B710" s="22"/>
      <c r="C710" s="22"/>
      <c r="D710" s="30"/>
    </row>
    <row r="711">
      <c r="B711" s="22"/>
      <c r="C711" s="22"/>
      <c r="D711" s="30"/>
    </row>
    <row r="712">
      <c r="B712" s="22"/>
      <c r="C712" s="22"/>
      <c r="D712" s="30"/>
    </row>
    <row r="713">
      <c r="B713" s="22"/>
      <c r="C713" s="22"/>
      <c r="D713" s="30"/>
    </row>
    <row r="714">
      <c r="B714" s="22"/>
      <c r="C714" s="22"/>
      <c r="D714" s="30"/>
    </row>
    <row r="715">
      <c r="B715" s="22"/>
      <c r="C715" s="22"/>
      <c r="D715" s="30"/>
    </row>
    <row r="716">
      <c r="B716" s="22"/>
      <c r="C716" s="22"/>
      <c r="D716" s="30"/>
    </row>
    <row r="717">
      <c r="B717" s="22"/>
      <c r="C717" s="22"/>
      <c r="D717" s="30"/>
    </row>
    <row r="718">
      <c r="B718" s="22"/>
      <c r="C718" s="22"/>
      <c r="D718" s="30"/>
    </row>
    <row r="719">
      <c r="B719" s="22"/>
      <c r="C719" s="22"/>
      <c r="D719" s="30"/>
    </row>
    <row r="720">
      <c r="B720" s="22"/>
      <c r="C720" s="22"/>
      <c r="D720" s="30"/>
    </row>
    <row r="721">
      <c r="B721" s="22"/>
      <c r="C721" s="22"/>
      <c r="D721" s="30"/>
    </row>
    <row r="722">
      <c r="B722" s="22"/>
      <c r="C722" s="22"/>
      <c r="D722" s="30"/>
    </row>
    <row r="723">
      <c r="B723" s="22"/>
      <c r="C723" s="22"/>
      <c r="D723" s="30"/>
    </row>
    <row r="724">
      <c r="B724" s="22"/>
      <c r="C724" s="22"/>
      <c r="D724" s="30"/>
    </row>
    <row r="725">
      <c r="B725" s="22"/>
      <c r="C725" s="22"/>
      <c r="D725" s="30"/>
    </row>
    <row r="726">
      <c r="B726" s="22"/>
      <c r="C726" s="22"/>
      <c r="D726" s="30"/>
    </row>
    <row r="727">
      <c r="B727" s="22"/>
      <c r="C727" s="22"/>
      <c r="D727" s="30"/>
    </row>
    <row r="728">
      <c r="B728" s="22"/>
      <c r="C728" s="22"/>
      <c r="D728" s="30"/>
    </row>
    <row r="729">
      <c r="B729" s="22"/>
      <c r="C729" s="22"/>
      <c r="D729" s="30"/>
    </row>
    <row r="730">
      <c r="B730" s="22"/>
      <c r="C730" s="22"/>
      <c r="D730" s="30"/>
    </row>
    <row r="731">
      <c r="B731" s="22"/>
      <c r="C731" s="22"/>
      <c r="D731" s="30"/>
    </row>
    <row r="732">
      <c r="B732" s="22"/>
      <c r="C732" s="22"/>
      <c r="D732" s="30"/>
    </row>
    <row r="733">
      <c r="B733" s="22"/>
      <c r="C733" s="22"/>
      <c r="D733" s="30"/>
    </row>
    <row r="734">
      <c r="B734" s="22"/>
      <c r="C734" s="22"/>
      <c r="D734" s="30"/>
    </row>
    <row r="735">
      <c r="B735" s="22"/>
      <c r="C735" s="22"/>
      <c r="D735" s="30"/>
    </row>
    <row r="736">
      <c r="B736" s="22"/>
      <c r="C736" s="22"/>
      <c r="D736" s="30"/>
    </row>
    <row r="737">
      <c r="B737" s="22"/>
      <c r="C737" s="22"/>
      <c r="D737" s="30"/>
    </row>
    <row r="738">
      <c r="B738" s="22"/>
      <c r="C738" s="22"/>
      <c r="D738" s="30"/>
    </row>
    <row r="739">
      <c r="B739" s="22"/>
      <c r="C739" s="22"/>
      <c r="D739" s="30"/>
    </row>
    <row r="740">
      <c r="B740" s="22"/>
      <c r="C740" s="22"/>
      <c r="D740" s="30"/>
    </row>
    <row r="741">
      <c r="B741" s="22"/>
      <c r="C741" s="22"/>
      <c r="D741" s="30"/>
    </row>
    <row r="742">
      <c r="B742" s="22"/>
      <c r="C742" s="22"/>
      <c r="D742" s="30"/>
    </row>
    <row r="743">
      <c r="B743" s="22"/>
      <c r="C743" s="22"/>
      <c r="D743" s="30"/>
    </row>
    <row r="744">
      <c r="B744" s="22"/>
      <c r="C744" s="22"/>
      <c r="D744" s="30"/>
    </row>
    <row r="745">
      <c r="B745" s="22"/>
      <c r="C745" s="22"/>
      <c r="D745" s="30"/>
    </row>
    <row r="746">
      <c r="B746" s="22"/>
      <c r="C746" s="22"/>
      <c r="D746" s="30"/>
    </row>
    <row r="747">
      <c r="B747" s="22"/>
      <c r="C747" s="22"/>
      <c r="D747" s="30"/>
    </row>
    <row r="748">
      <c r="B748" s="22"/>
      <c r="C748" s="22"/>
      <c r="D748" s="30"/>
    </row>
    <row r="749">
      <c r="B749" s="22"/>
      <c r="C749" s="22"/>
      <c r="D749" s="30"/>
    </row>
    <row r="750">
      <c r="B750" s="22"/>
      <c r="C750" s="22"/>
      <c r="D750" s="30"/>
    </row>
    <row r="751">
      <c r="B751" s="22"/>
      <c r="C751" s="22"/>
      <c r="D751" s="30"/>
    </row>
    <row r="752">
      <c r="B752" s="22"/>
      <c r="C752" s="22"/>
      <c r="D752" s="30"/>
    </row>
    <row r="753">
      <c r="B753" s="22"/>
      <c r="C753" s="22"/>
      <c r="D753" s="30"/>
    </row>
    <row r="754">
      <c r="B754" s="22"/>
      <c r="C754" s="22"/>
      <c r="D754" s="30"/>
    </row>
    <row r="755">
      <c r="B755" s="22"/>
      <c r="C755" s="22"/>
      <c r="D755" s="30"/>
    </row>
    <row r="756">
      <c r="B756" s="22"/>
      <c r="C756" s="22"/>
      <c r="D756" s="30"/>
    </row>
    <row r="757">
      <c r="B757" s="22"/>
      <c r="C757" s="22"/>
      <c r="D757" s="30"/>
    </row>
    <row r="758">
      <c r="B758" s="22"/>
      <c r="C758" s="22"/>
      <c r="D758" s="30"/>
    </row>
    <row r="759">
      <c r="B759" s="22"/>
      <c r="C759" s="22"/>
      <c r="D759" s="30"/>
    </row>
    <row r="760">
      <c r="B760" s="22"/>
      <c r="C760" s="22"/>
      <c r="D760" s="30"/>
    </row>
    <row r="761">
      <c r="B761" s="22"/>
      <c r="C761" s="22"/>
      <c r="D761" s="30"/>
    </row>
    <row r="762">
      <c r="B762" s="22"/>
      <c r="C762" s="22"/>
      <c r="D762" s="30"/>
    </row>
    <row r="763">
      <c r="B763" s="22"/>
      <c r="C763" s="22"/>
      <c r="D763" s="30"/>
    </row>
    <row r="764">
      <c r="B764" s="22"/>
      <c r="C764" s="22"/>
      <c r="D764" s="30"/>
    </row>
    <row r="765">
      <c r="B765" s="22"/>
      <c r="C765" s="22"/>
      <c r="D765" s="30"/>
    </row>
    <row r="766">
      <c r="B766" s="22"/>
      <c r="C766" s="22"/>
      <c r="D766" s="30"/>
    </row>
    <row r="767">
      <c r="B767" s="22"/>
      <c r="C767" s="22"/>
      <c r="D767" s="30"/>
    </row>
    <row r="768">
      <c r="B768" s="22"/>
      <c r="C768" s="22"/>
      <c r="D768" s="30"/>
    </row>
    <row r="769">
      <c r="B769" s="22"/>
      <c r="C769" s="22"/>
      <c r="D769" s="30"/>
    </row>
    <row r="770">
      <c r="B770" s="22"/>
      <c r="C770" s="22"/>
      <c r="D770" s="30"/>
    </row>
    <row r="771">
      <c r="B771" s="22"/>
      <c r="C771" s="22"/>
      <c r="D771" s="30"/>
    </row>
    <row r="772">
      <c r="B772" s="22"/>
      <c r="C772" s="22"/>
      <c r="D772" s="30"/>
    </row>
    <row r="773">
      <c r="B773" s="22"/>
      <c r="C773" s="22"/>
      <c r="D773" s="30"/>
    </row>
    <row r="774">
      <c r="B774" s="22"/>
      <c r="C774" s="22"/>
      <c r="D774" s="30"/>
    </row>
    <row r="775">
      <c r="B775" s="22"/>
      <c r="C775" s="22"/>
      <c r="D775" s="30"/>
    </row>
    <row r="776">
      <c r="B776" s="22"/>
      <c r="C776" s="22"/>
      <c r="D776" s="30"/>
    </row>
    <row r="777">
      <c r="B777" s="22"/>
      <c r="C777" s="22"/>
      <c r="D777" s="30"/>
    </row>
    <row r="778">
      <c r="B778" s="22"/>
      <c r="C778" s="22"/>
      <c r="D778" s="30"/>
    </row>
    <row r="779">
      <c r="B779" s="22"/>
      <c r="C779" s="22"/>
      <c r="D779" s="30"/>
    </row>
    <row r="780">
      <c r="B780" s="22"/>
      <c r="C780" s="22"/>
      <c r="D780" s="30"/>
    </row>
    <row r="781">
      <c r="B781" s="22"/>
      <c r="C781" s="22"/>
      <c r="D781" s="30"/>
    </row>
    <row r="782">
      <c r="B782" s="22"/>
      <c r="C782" s="22"/>
      <c r="D782" s="30"/>
    </row>
    <row r="783">
      <c r="B783" s="22"/>
      <c r="C783" s="22"/>
      <c r="D783" s="30"/>
    </row>
    <row r="784">
      <c r="B784" s="22"/>
      <c r="C784" s="22"/>
      <c r="D784" s="30"/>
    </row>
    <row r="785">
      <c r="B785" s="22"/>
      <c r="C785" s="22"/>
      <c r="D785" s="30"/>
    </row>
    <row r="786">
      <c r="B786" s="22"/>
      <c r="C786" s="22"/>
      <c r="D786" s="30"/>
    </row>
    <row r="787">
      <c r="B787" s="22"/>
      <c r="C787" s="22"/>
      <c r="D787" s="30"/>
    </row>
    <row r="788">
      <c r="B788" s="22"/>
      <c r="C788" s="22"/>
      <c r="D788" s="30"/>
    </row>
    <row r="789">
      <c r="B789" s="22"/>
      <c r="C789" s="22"/>
      <c r="D789" s="30"/>
    </row>
    <row r="790">
      <c r="B790" s="22"/>
      <c r="C790" s="22"/>
      <c r="D790" s="30"/>
    </row>
    <row r="791">
      <c r="B791" s="22"/>
      <c r="C791" s="22"/>
      <c r="D791" s="30"/>
    </row>
    <row r="792">
      <c r="B792" s="22"/>
      <c r="C792" s="22"/>
      <c r="D792" s="30"/>
    </row>
    <row r="793">
      <c r="B793" s="22"/>
      <c r="C793" s="22"/>
      <c r="D793" s="30"/>
    </row>
    <row r="794">
      <c r="B794" s="22"/>
      <c r="C794" s="22"/>
      <c r="D794" s="30"/>
    </row>
    <row r="795">
      <c r="B795" s="22"/>
      <c r="C795" s="22"/>
      <c r="D795" s="30"/>
    </row>
    <row r="796">
      <c r="B796" s="22"/>
      <c r="C796" s="22"/>
      <c r="D796" s="30"/>
    </row>
    <row r="797">
      <c r="B797" s="22"/>
      <c r="C797" s="22"/>
      <c r="D797" s="30"/>
    </row>
    <row r="798">
      <c r="B798" s="22"/>
      <c r="C798" s="22"/>
      <c r="D798" s="30"/>
    </row>
    <row r="799">
      <c r="B799" s="22"/>
      <c r="C799" s="22"/>
      <c r="D799" s="30"/>
    </row>
    <row r="800">
      <c r="B800" s="22"/>
      <c r="C800" s="22"/>
      <c r="D800" s="30"/>
    </row>
    <row r="801">
      <c r="B801" s="22"/>
      <c r="C801" s="22"/>
      <c r="D801" s="30"/>
    </row>
    <row r="802">
      <c r="B802" s="22"/>
      <c r="C802" s="22"/>
      <c r="D802" s="30"/>
    </row>
    <row r="803">
      <c r="B803" s="22"/>
      <c r="C803" s="22"/>
      <c r="D803" s="30"/>
    </row>
    <row r="804">
      <c r="B804" s="22"/>
      <c r="C804" s="22"/>
      <c r="D804" s="30"/>
    </row>
    <row r="805">
      <c r="B805" s="22"/>
      <c r="C805" s="22"/>
      <c r="D805" s="30"/>
    </row>
    <row r="806">
      <c r="B806" s="22"/>
      <c r="C806" s="22"/>
      <c r="D806" s="30"/>
    </row>
    <row r="807">
      <c r="B807" s="22"/>
      <c r="C807" s="22"/>
      <c r="D807" s="30"/>
    </row>
    <row r="808">
      <c r="B808" s="22"/>
      <c r="C808" s="22"/>
      <c r="D808" s="30"/>
    </row>
    <row r="809">
      <c r="B809" s="22"/>
      <c r="C809" s="22"/>
      <c r="D809" s="30"/>
    </row>
    <row r="810">
      <c r="B810" s="22"/>
      <c r="C810" s="22"/>
      <c r="D810" s="30"/>
    </row>
    <row r="811">
      <c r="B811" s="22"/>
      <c r="C811" s="22"/>
      <c r="D811" s="30"/>
    </row>
    <row r="812">
      <c r="B812" s="22"/>
      <c r="C812" s="22"/>
      <c r="D812" s="30"/>
    </row>
    <row r="813">
      <c r="B813" s="22"/>
      <c r="C813" s="22"/>
      <c r="D813" s="30"/>
    </row>
    <row r="814">
      <c r="B814" s="22"/>
      <c r="C814" s="22"/>
      <c r="D814" s="30"/>
    </row>
    <row r="815">
      <c r="B815" s="22"/>
      <c r="C815" s="22"/>
      <c r="D815" s="30"/>
    </row>
    <row r="816">
      <c r="B816" s="22"/>
      <c r="C816" s="22"/>
      <c r="D816" s="30"/>
    </row>
    <row r="817">
      <c r="B817" s="22"/>
      <c r="C817" s="22"/>
      <c r="D817" s="30"/>
    </row>
    <row r="818">
      <c r="B818" s="22"/>
      <c r="C818" s="22"/>
      <c r="D818" s="30"/>
    </row>
    <row r="819">
      <c r="B819" s="22"/>
      <c r="C819" s="22"/>
      <c r="D819" s="30"/>
    </row>
    <row r="820">
      <c r="B820" s="22"/>
      <c r="C820" s="22"/>
      <c r="D820" s="30"/>
    </row>
    <row r="821">
      <c r="B821" s="22"/>
      <c r="C821" s="22"/>
      <c r="D821" s="30"/>
    </row>
    <row r="822">
      <c r="B822" s="22"/>
      <c r="C822" s="22"/>
      <c r="D822" s="30"/>
    </row>
    <row r="823">
      <c r="B823" s="22"/>
      <c r="C823" s="22"/>
      <c r="D823" s="30"/>
    </row>
    <row r="824">
      <c r="B824" s="22"/>
      <c r="C824" s="22"/>
      <c r="D824" s="30"/>
    </row>
    <row r="825">
      <c r="B825" s="22"/>
      <c r="C825" s="22"/>
      <c r="D825" s="30"/>
    </row>
    <row r="826">
      <c r="B826" s="22"/>
      <c r="C826" s="22"/>
      <c r="D826" s="30"/>
    </row>
    <row r="827">
      <c r="B827" s="22"/>
      <c r="C827" s="22"/>
      <c r="D827" s="30"/>
    </row>
    <row r="828">
      <c r="B828" s="22"/>
      <c r="C828" s="22"/>
      <c r="D828" s="30"/>
    </row>
    <row r="829">
      <c r="B829" s="22"/>
      <c r="C829" s="22"/>
      <c r="D829" s="30"/>
    </row>
    <row r="830">
      <c r="B830" s="22"/>
      <c r="C830" s="22"/>
      <c r="D830" s="30"/>
    </row>
    <row r="831">
      <c r="B831" s="22"/>
      <c r="C831" s="22"/>
      <c r="D831" s="30"/>
    </row>
    <row r="832">
      <c r="B832" s="22"/>
      <c r="C832" s="22"/>
      <c r="D832" s="30"/>
    </row>
    <row r="833">
      <c r="B833" s="22"/>
      <c r="C833" s="22"/>
      <c r="D833" s="30"/>
    </row>
    <row r="834">
      <c r="B834" s="22"/>
      <c r="C834" s="22"/>
      <c r="D834" s="30"/>
    </row>
    <row r="835">
      <c r="B835" s="22"/>
      <c r="C835" s="22"/>
      <c r="D835" s="30"/>
    </row>
    <row r="836">
      <c r="B836" s="22"/>
      <c r="C836" s="22"/>
      <c r="D836" s="30"/>
    </row>
    <row r="837">
      <c r="B837" s="22"/>
      <c r="C837" s="22"/>
      <c r="D837" s="30"/>
    </row>
    <row r="838">
      <c r="B838" s="22"/>
      <c r="C838" s="22"/>
      <c r="D838" s="30"/>
    </row>
    <row r="839">
      <c r="B839" s="22"/>
      <c r="C839" s="22"/>
      <c r="D839" s="30"/>
    </row>
    <row r="840">
      <c r="B840" s="22"/>
      <c r="C840" s="22"/>
      <c r="D840" s="30"/>
    </row>
    <row r="841">
      <c r="B841" s="22"/>
      <c r="C841" s="22"/>
      <c r="D841" s="30"/>
    </row>
    <row r="842">
      <c r="B842" s="22"/>
      <c r="C842" s="22"/>
      <c r="D842" s="30"/>
    </row>
    <row r="843">
      <c r="B843" s="22"/>
      <c r="C843" s="22"/>
      <c r="D843" s="30"/>
    </row>
    <row r="844">
      <c r="B844" s="22"/>
      <c r="C844" s="22"/>
      <c r="D844" s="30"/>
    </row>
    <row r="845">
      <c r="B845" s="22"/>
      <c r="C845" s="22"/>
      <c r="D845" s="30"/>
    </row>
    <row r="846">
      <c r="B846" s="22"/>
      <c r="C846" s="22"/>
      <c r="D846" s="30"/>
    </row>
    <row r="847">
      <c r="B847" s="22"/>
      <c r="C847" s="22"/>
      <c r="D847" s="30"/>
    </row>
    <row r="848">
      <c r="B848" s="22"/>
      <c r="C848" s="22"/>
      <c r="D848" s="30"/>
    </row>
    <row r="849">
      <c r="B849" s="22"/>
      <c r="C849" s="22"/>
      <c r="D849" s="30"/>
    </row>
    <row r="850">
      <c r="B850" s="22"/>
      <c r="C850" s="22"/>
      <c r="D850" s="30"/>
    </row>
    <row r="851">
      <c r="B851" s="22"/>
      <c r="C851" s="22"/>
      <c r="D851" s="30"/>
    </row>
    <row r="852">
      <c r="B852" s="22"/>
      <c r="C852" s="22"/>
      <c r="D852" s="30"/>
    </row>
    <row r="853">
      <c r="B853" s="22"/>
      <c r="C853" s="22"/>
      <c r="D853" s="30"/>
    </row>
    <row r="854">
      <c r="B854" s="22"/>
      <c r="C854" s="22"/>
      <c r="D854" s="30"/>
    </row>
    <row r="855">
      <c r="B855" s="22"/>
      <c r="C855" s="22"/>
      <c r="D855" s="30"/>
    </row>
    <row r="856">
      <c r="B856" s="22"/>
      <c r="C856" s="22"/>
      <c r="D856" s="30"/>
    </row>
    <row r="857">
      <c r="B857" s="22"/>
      <c r="C857" s="22"/>
      <c r="D857" s="30"/>
    </row>
    <row r="858">
      <c r="B858" s="22"/>
      <c r="C858" s="22"/>
      <c r="D858" s="30"/>
    </row>
    <row r="859">
      <c r="B859" s="22"/>
      <c r="C859" s="22"/>
      <c r="D859" s="30"/>
    </row>
    <row r="860">
      <c r="B860" s="22"/>
      <c r="C860" s="22"/>
      <c r="D860" s="30"/>
    </row>
    <row r="861">
      <c r="B861" s="22"/>
      <c r="C861" s="22"/>
      <c r="D861" s="30"/>
    </row>
    <row r="862">
      <c r="B862" s="22"/>
      <c r="C862" s="22"/>
      <c r="D862" s="30"/>
    </row>
    <row r="863">
      <c r="B863" s="22"/>
      <c r="C863" s="22"/>
      <c r="D863" s="30"/>
    </row>
    <row r="864">
      <c r="B864" s="22"/>
      <c r="C864" s="22"/>
      <c r="D864" s="30"/>
    </row>
    <row r="865">
      <c r="B865" s="22"/>
      <c r="C865" s="22"/>
      <c r="D865" s="30"/>
    </row>
    <row r="866">
      <c r="B866" s="22"/>
      <c r="C866" s="22"/>
      <c r="D866" s="30"/>
    </row>
    <row r="867">
      <c r="B867" s="22"/>
      <c r="C867" s="22"/>
      <c r="D867" s="30"/>
    </row>
    <row r="868">
      <c r="B868" s="22"/>
      <c r="C868" s="22"/>
      <c r="D868" s="30"/>
    </row>
    <row r="869">
      <c r="B869" s="22"/>
      <c r="C869" s="22"/>
      <c r="D869" s="30"/>
    </row>
    <row r="870">
      <c r="B870" s="22"/>
      <c r="C870" s="22"/>
      <c r="D870" s="30"/>
    </row>
    <row r="871">
      <c r="B871" s="22"/>
      <c r="C871" s="22"/>
      <c r="D871" s="30"/>
    </row>
    <row r="872">
      <c r="B872" s="22"/>
      <c r="C872" s="22"/>
      <c r="D872" s="30"/>
    </row>
    <row r="873">
      <c r="B873" s="22"/>
      <c r="C873" s="22"/>
      <c r="D873" s="30"/>
    </row>
    <row r="874">
      <c r="B874" s="22"/>
      <c r="C874" s="22"/>
      <c r="D874" s="30"/>
    </row>
    <row r="875">
      <c r="B875" s="22"/>
      <c r="C875" s="22"/>
      <c r="D875" s="30"/>
    </row>
    <row r="876">
      <c r="B876" s="22"/>
      <c r="C876" s="22"/>
      <c r="D876" s="30"/>
    </row>
    <row r="877">
      <c r="B877" s="22"/>
      <c r="C877" s="22"/>
      <c r="D877" s="30"/>
    </row>
    <row r="878">
      <c r="B878" s="22"/>
      <c r="C878" s="22"/>
      <c r="D878" s="30"/>
    </row>
    <row r="879">
      <c r="B879" s="22"/>
      <c r="C879" s="22"/>
      <c r="D879" s="30"/>
    </row>
    <row r="880">
      <c r="B880" s="22"/>
      <c r="C880" s="22"/>
      <c r="D880" s="30"/>
    </row>
    <row r="881">
      <c r="B881" s="22"/>
      <c r="C881" s="22"/>
      <c r="D881" s="30"/>
    </row>
    <row r="882">
      <c r="B882" s="22"/>
      <c r="C882" s="22"/>
      <c r="D882" s="30"/>
    </row>
    <row r="883">
      <c r="B883" s="22"/>
      <c r="C883" s="22"/>
      <c r="D883" s="30"/>
    </row>
    <row r="884">
      <c r="B884" s="22"/>
      <c r="C884" s="22"/>
      <c r="D884" s="30"/>
    </row>
    <row r="885">
      <c r="B885" s="22"/>
      <c r="C885" s="22"/>
      <c r="D885" s="30"/>
    </row>
    <row r="886">
      <c r="B886" s="22"/>
      <c r="C886" s="22"/>
      <c r="D886" s="30"/>
    </row>
    <row r="887">
      <c r="B887" s="22"/>
      <c r="C887" s="22"/>
      <c r="D887" s="30"/>
    </row>
    <row r="888">
      <c r="B888" s="22"/>
      <c r="C888" s="22"/>
      <c r="D888" s="30"/>
    </row>
    <row r="889">
      <c r="B889" s="22"/>
      <c r="C889" s="22"/>
      <c r="D889" s="30"/>
    </row>
    <row r="890">
      <c r="B890" s="22"/>
      <c r="C890" s="22"/>
      <c r="D890" s="30"/>
    </row>
    <row r="891">
      <c r="B891" s="22"/>
      <c r="C891" s="22"/>
      <c r="D891" s="30"/>
    </row>
    <row r="892">
      <c r="B892" s="22"/>
      <c r="C892" s="22"/>
      <c r="D892" s="30"/>
    </row>
    <row r="893">
      <c r="B893" s="22"/>
      <c r="C893" s="22"/>
      <c r="D893" s="30"/>
    </row>
    <row r="894">
      <c r="B894" s="22"/>
      <c r="C894" s="22"/>
      <c r="D894" s="30"/>
    </row>
    <row r="895">
      <c r="B895" s="22"/>
      <c r="C895" s="22"/>
      <c r="D895" s="30"/>
    </row>
    <row r="896">
      <c r="B896" s="22"/>
      <c r="C896" s="22"/>
      <c r="D896" s="30"/>
    </row>
    <row r="897">
      <c r="B897" s="22"/>
      <c r="C897" s="22"/>
      <c r="D897" s="30"/>
    </row>
    <row r="898">
      <c r="B898" s="22"/>
      <c r="C898" s="22"/>
      <c r="D898" s="30"/>
    </row>
    <row r="899">
      <c r="B899" s="22"/>
      <c r="C899" s="22"/>
      <c r="D899" s="30"/>
    </row>
    <row r="900">
      <c r="B900" s="22"/>
      <c r="C900" s="22"/>
      <c r="D900" s="30"/>
    </row>
    <row r="901">
      <c r="B901" s="22"/>
      <c r="C901" s="22"/>
      <c r="D901" s="30"/>
    </row>
    <row r="902">
      <c r="B902" s="22"/>
      <c r="C902" s="22"/>
      <c r="D902" s="30"/>
    </row>
    <row r="903">
      <c r="B903" s="22"/>
      <c r="C903" s="22"/>
      <c r="D903" s="30"/>
    </row>
    <row r="904">
      <c r="B904" s="22"/>
      <c r="C904" s="22"/>
      <c r="D904" s="30"/>
    </row>
    <row r="905">
      <c r="B905" s="22"/>
      <c r="C905" s="22"/>
      <c r="D905" s="30"/>
    </row>
    <row r="906">
      <c r="B906" s="22"/>
      <c r="C906" s="22"/>
      <c r="D906" s="30"/>
    </row>
    <row r="907">
      <c r="B907" s="22"/>
      <c r="C907" s="22"/>
      <c r="D907" s="30"/>
    </row>
    <row r="908">
      <c r="B908" s="22"/>
      <c r="C908" s="22"/>
      <c r="D908" s="30"/>
    </row>
    <row r="909">
      <c r="B909" s="22"/>
      <c r="C909" s="22"/>
      <c r="D909" s="30"/>
    </row>
    <row r="910">
      <c r="B910" s="22"/>
      <c r="C910" s="22"/>
      <c r="D910" s="30"/>
    </row>
    <row r="911">
      <c r="B911" s="22"/>
      <c r="C911" s="22"/>
      <c r="D911" s="30"/>
    </row>
    <row r="912">
      <c r="B912" s="22"/>
      <c r="C912" s="22"/>
      <c r="D912" s="30"/>
    </row>
    <row r="913">
      <c r="B913" s="22"/>
      <c r="C913" s="22"/>
      <c r="D913" s="30"/>
    </row>
    <row r="914">
      <c r="B914" s="22"/>
      <c r="C914" s="22"/>
      <c r="D914" s="30"/>
    </row>
    <row r="915">
      <c r="B915" s="22"/>
      <c r="C915" s="22"/>
      <c r="D915" s="30"/>
    </row>
    <row r="916">
      <c r="B916" s="22"/>
      <c r="C916" s="22"/>
      <c r="D916" s="30"/>
    </row>
    <row r="917">
      <c r="B917" s="22"/>
      <c r="C917" s="22"/>
      <c r="D917" s="30"/>
    </row>
    <row r="918">
      <c r="B918" s="22"/>
      <c r="C918" s="22"/>
      <c r="D918" s="30"/>
    </row>
    <row r="919">
      <c r="B919" s="22"/>
      <c r="C919" s="22"/>
      <c r="D919" s="30"/>
    </row>
    <row r="920">
      <c r="B920" s="22"/>
      <c r="C920" s="22"/>
      <c r="D920" s="30"/>
    </row>
    <row r="921">
      <c r="B921" s="22"/>
      <c r="C921" s="22"/>
      <c r="D921" s="30"/>
    </row>
    <row r="922">
      <c r="B922" s="22"/>
      <c r="C922" s="22"/>
      <c r="D922" s="30"/>
    </row>
    <row r="923">
      <c r="B923" s="22"/>
      <c r="C923" s="22"/>
      <c r="D923" s="30"/>
    </row>
    <row r="924">
      <c r="B924" s="22"/>
      <c r="C924" s="22"/>
      <c r="D924" s="30"/>
    </row>
    <row r="925">
      <c r="B925" s="22"/>
      <c r="C925" s="22"/>
      <c r="D925" s="30"/>
    </row>
    <row r="926">
      <c r="B926" s="22"/>
      <c r="C926" s="22"/>
      <c r="D926" s="30"/>
    </row>
    <row r="927">
      <c r="B927" s="22"/>
      <c r="C927" s="22"/>
      <c r="D927" s="30"/>
    </row>
    <row r="928">
      <c r="B928" s="22"/>
      <c r="C928" s="22"/>
      <c r="D928" s="30"/>
    </row>
    <row r="929">
      <c r="B929" s="22"/>
      <c r="C929" s="22"/>
      <c r="D929" s="30"/>
    </row>
    <row r="930">
      <c r="B930" s="22"/>
      <c r="C930" s="22"/>
      <c r="D930" s="30"/>
    </row>
    <row r="931">
      <c r="B931" s="22"/>
      <c r="C931" s="22"/>
      <c r="D931" s="30"/>
    </row>
    <row r="932">
      <c r="B932" s="22"/>
      <c r="C932" s="22"/>
      <c r="D932" s="30"/>
    </row>
    <row r="933">
      <c r="B933" s="22"/>
      <c r="C933" s="22"/>
      <c r="D933" s="30"/>
    </row>
    <row r="934">
      <c r="B934" s="22"/>
      <c r="C934" s="22"/>
      <c r="D934" s="30"/>
    </row>
    <row r="935">
      <c r="B935" s="22"/>
      <c r="C935" s="22"/>
      <c r="D935" s="30"/>
    </row>
    <row r="936">
      <c r="B936" s="22"/>
      <c r="C936" s="22"/>
      <c r="D936" s="30"/>
    </row>
    <row r="937">
      <c r="B937" s="22"/>
      <c r="C937" s="22"/>
      <c r="D937" s="30"/>
    </row>
    <row r="938">
      <c r="B938" s="22"/>
      <c r="C938" s="22"/>
      <c r="D938" s="30"/>
    </row>
    <row r="939">
      <c r="B939" s="22"/>
      <c r="C939" s="22"/>
      <c r="D939" s="30"/>
    </row>
    <row r="940">
      <c r="B940" s="22"/>
      <c r="C940" s="22"/>
      <c r="D940" s="30"/>
    </row>
    <row r="941">
      <c r="B941" s="22"/>
      <c r="C941" s="22"/>
      <c r="D941" s="30"/>
    </row>
    <row r="942">
      <c r="B942" s="22"/>
      <c r="C942" s="22"/>
      <c r="D942" s="30"/>
    </row>
    <row r="943">
      <c r="B943" s="22"/>
      <c r="C943" s="22"/>
      <c r="D943" s="30"/>
    </row>
    <row r="944">
      <c r="B944" s="22"/>
      <c r="C944" s="22"/>
      <c r="D944" s="30"/>
    </row>
    <row r="945">
      <c r="B945" s="22"/>
      <c r="C945" s="22"/>
      <c r="D945" s="30"/>
    </row>
    <row r="946">
      <c r="B946" s="22"/>
      <c r="C946" s="22"/>
      <c r="D946" s="30"/>
    </row>
    <row r="947">
      <c r="B947" s="22"/>
      <c r="C947" s="22"/>
      <c r="D947" s="30"/>
    </row>
    <row r="948">
      <c r="B948" s="22"/>
      <c r="C948" s="22"/>
      <c r="D948" s="30"/>
    </row>
    <row r="949">
      <c r="B949" s="22"/>
      <c r="C949" s="22"/>
      <c r="D949" s="30"/>
    </row>
    <row r="950">
      <c r="B950" s="22"/>
      <c r="C950" s="22"/>
      <c r="D950" s="30"/>
    </row>
    <row r="951">
      <c r="B951" s="22"/>
      <c r="C951" s="22"/>
      <c r="D951" s="30"/>
    </row>
    <row r="952">
      <c r="B952" s="22"/>
      <c r="C952" s="22"/>
      <c r="D952" s="30"/>
    </row>
    <row r="953">
      <c r="B953" s="22"/>
      <c r="C953" s="22"/>
      <c r="D953" s="30"/>
    </row>
    <row r="954">
      <c r="B954" s="22"/>
      <c r="C954" s="22"/>
      <c r="D954" s="30"/>
    </row>
    <row r="955">
      <c r="B955" s="22"/>
      <c r="C955" s="22"/>
      <c r="D955" s="30"/>
    </row>
    <row r="956">
      <c r="B956" s="22"/>
      <c r="C956" s="22"/>
      <c r="D956" s="30"/>
    </row>
    <row r="957">
      <c r="B957" s="22"/>
      <c r="C957" s="22"/>
      <c r="D957" s="30"/>
    </row>
    <row r="958">
      <c r="B958" s="22"/>
      <c r="C958" s="22"/>
      <c r="D958" s="30"/>
    </row>
    <row r="959">
      <c r="B959" s="22"/>
      <c r="C959" s="22"/>
      <c r="D959" s="30"/>
    </row>
    <row r="960">
      <c r="B960" s="22"/>
      <c r="C960" s="22"/>
      <c r="D960" s="30"/>
    </row>
    <row r="961">
      <c r="B961" s="22"/>
      <c r="C961" s="22"/>
      <c r="D961" s="30"/>
    </row>
    <row r="962">
      <c r="B962" s="22"/>
      <c r="C962" s="22"/>
      <c r="D962" s="30"/>
    </row>
    <row r="963">
      <c r="B963" s="22"/>
      <c r="C963" s="22"/>
      <c r="D963" s="30"/>
    </row>
    <row r="964">
      <c r="B964" s="22"/>
      <c r="C964" s="22"/>
      <c r="D964" s="30"/>
    </row>
    <row r="965">
      <c r="B965" s="22"/>
      <c r="C965" s="22"/>
      <c r="D965" s="30"/>
    </row>
    <row r="966">
      <c r="B966" s="22"/>
      <c r="C966" s="22"/>
      <c r="D966" s="30"/>
    </row>
    <row r="967">
      <c r="B967" s="22"/>
      <c r="C967" s="22"/>
      <c r="D967" s="30"/>
    </row>
    <row r="968">
      <c r="B968" s="22"/>
      <c r="C968" s="22"/>
      <c r="D968" s="30"/>
    </row>
    <row r="969">
      <c r="B969" s="22"/>
      <c r="C969" s="22"/>
      <c r="D969" s="30"/>
    </row>
    <row r="970">
      <c r="B970" s="22"/>
      <c r="C970" s="22"/>
      <c r="D970" s="30"/>
    </row>
    <row r="971">
      <c r="B971" s="22"/>
      <c r="C971" s="22"/>
      <c r="D971" s="30"/>
    </row>
    <row r="972">
      <c r="B972" s="22"/>
      <c r="C972" s="22"/>
      <c r="D972" s="30"/>
    </row>
    <row r="973">
      <c r="B973" s="22"/>
      <c r="C973" s="22"/>
      <c r="D973" s="30"/>
    </row>
    <row r="974">
      <c r="B974" s="22"/>
      <c r="C974" s="22"/>
      <c r="D974" s="30"/>
    </row>
    <row r="975">
      <c r="B975" s="22"/>
      <c r="C975" s="22"/>
      <c r="D975" s="30"/>
    </row>
    <row r="976">
      <c r="B976" s="22"/>
      <c r="C976" s="22"/>
      <c r="D976" s="30"/>
    </row>
    <row r="977">
      <c r="B977" s="22"/>
      <c r="C977" s="22"/>
      <c r="D977" s="30"/>
    </row>
    <row r="978">
      <c r="B978" s="22"/>
      <c r="C978" s="22"/>
      <c r="D978" s="30"/>
    </row>
    <row r="979">
      <c r="B979" s="22"/>
      <c r="C979" s="22"/>
      <c r="D979" s="30"/>
    </row>
    <row r="980">
      <c r="B980" s="22"/>
      <c r="C980" s="22"/>
      <c r="D980" s="30"/>
    </row>
    <row r="981">
      <c r="B981" s="22"/>
      <c r="C981" s="22"/>
      <c r="D981" s="30"/>
    </row>
    <row r="982">
      <c r="B982" s="22"/>
      <c r="C982" s="22"/>
      <c r="D982" s="30"/>
    </row>
    <row r="983">
      <c r="B983" s="22"/>
      <c r="C983" s="22"/>
      <c r="D983" s="30"/>
    </row>
    <row r="984">
      <c r="B984" s="22"/>
      <c r="C984" s="22"/>
      <c r="D984" s="30"/>
    </row>
    <row r="985">
      <c r="B985" s="22"/>
      <c r="C985" s="22"/>
      <c r="D985" s="30"/>
    </row>
    <row r="986">
      <c r="B986" s="22"/>
      <c r="C986" s="22"/>
      <c r="D986" s="30"/>
    </row>
    <row r="987">
      <c r="B987" s="22"/>
      <c r="C987" s="22"/>
      <c r="D987" s="30"/>
    </row>
    <row r="988">
      <c r="B988" s="22"/>
      <c r="C988" s="22"/>
      <c r="D988" s="30"/>
    </row>
    <row r="989">
      <c r="B989" s="22"/>
      <c r="C989" s="22"/>
      <c r="D989" s="30"/>
    </row>
    <row r="990">
      <c r="B990" s="22"/>
      <c r="C990" s="22"/>
      <c r="D990" s="30"/>
    </row>
    <row r="991">
      <c r="B991" s="22"/>
      <c r="C991" s="22"/>
      <c r="D991" s="30"/>
    </row>
    <row r="992">
      <c r="B992" s="22"/>
      <c r="C992" s="22"/>
      <c r="D992" s="30"/>
    </row>
    <row r="993">
      <c r="B993" s="22"/>
      <c r="C993" s="22"/>
      <c r="D993" s="30"/>
    </row>
    <row r="994">
      <c r="B994" s="22"/>
      <c r="C994" s="22"/>
      <c r="D994" s="30"/>
    </row>
    <row r="995">
      <c r="B995" s="22"/>
      <c r="C995" s="22"/>
      <c r="D995" s="30"/>
    </row>
    <row r="996">
      <c r="B996" s="22"/>
      <c r="C996" s="22"/>
      <c r="D996" s="30"/>
    </row>
    <row r="997">
      <c r="B997" s="22"/>
      <c r="C997" s="22"/>
      <c r="D997" s="30"/>
    </row>
    <row r="998">
      <c r="B998" s="22"/>
      <c r="C998" s="22"/>
      <c r="D998" s="30"/>
    </row>
    <row r="999">
      <c r="B999" s="22"/>
      <c r="C999" s="22"/>
      <c r="D999" s="30"/>
    </row>
    <row r="1000">
      <c r="B1000" s="22"/>
      <c r="C1000" s="22"/>
      <c r="D1000" s="30"/>
    </row>
    <row r="1001">
      <c r="B1001" s="22"/>
      <c r="C1001" s="22"/>
      <c r="D1001" s="30"/>
    </row>
    <row r="1002">
      <c r="B1002" s="22"/>
      <c r="C1002" s="22"/>
      <c r="D1002" s="30"/>
    </row>
    <row r="1003">
      <c r="B1003" s="22"/>
      <c r="C1003" s="22"/>
      <c r="D1003" s="30"/>
    </row>
    <row r="1004">
      <c r="B1004" s="22"/>
      <c r="C1004" s="22"/>
      <c r="D1004" s="30"/>
    </row>
    <row r="1005">
      <c r="B1005" s="22"/>
      <c r="C1005" s="22"/>
      <c r="D1005" s="30"/>
    </row>
    <row r="1006">
      <c r="B1006" s="22"/>
      <c r="C1006" s="22"/>
      <c r="D1006" s="30"/>
    </row>
    <row r="1007">
      <c r="B1007" s="22"/>
      <c r="C1007" s="22"/>
      <c r="D1007" s="30"/>
    </row>
    <row r="1008">
      <c r="B1008" s="22"/>
      <c r="C1008" s="22"/>
      <c r="D1008" s="30"/>
    </row>
    <row r="1009">
      <c r="B1009" s="22"/>
      <c r="C1009" s="22"/>
      <c r="D1009" s="30"/>
    </row>
    <row r="1010">
      <c r="B1010" s="22"/>
      <c r="C1010" s="22"/>
      <c r="D1010" s="30"/>
    </row>
    <row r="1011">
      <c r="B1011" s="22"/>
      <c r="C1011" s="22"/>
      <c r="D1011" s="30"/>
    </row>
    <row r="1012">
      <c r="B1012" s="22"/>
      <c r="C1012" s="22"/>
      <c r="D1012" s="30"/>
    </row>
    <row r="1013">
      <c r="B1013" s="22"/>
      <c r="C1013" s="22"/>
      <c r="D1013" s="30"/>
    </row>
    <row r="1014">
      <c r="B1014" s="22"/>
      <c r="C1014" s="22"/>
      <c r="D1014" s="30"/>
    </row>
    <row r="1015">
      <c r="B1015" s="22"/>
      <c r="C1015" s="22"/>
      <c r="D1015" s="30"/>
    </row>
    <row r="1016">
      <c r="B1016" s="22"/>
      <c r="C1016" s="22"/>
      <c r="D1016" s="30"/>
    </row>
    <row r="1017">
      <c r="B1017" s="22"/>
      <c r="C1017" s="22"/>
      <c r="D1017" s="30"/>
    </row>
    <row r="1018">
      <c r="B1018" s="22"/>
      <c r="C1018" s="22"/>
      <c r="D1018" s="30"/>
    </row>
    <row r="1019">
      <c r="B1019" s="22"/>
      <c r="C1019" s="22"/>
      <c r="D1019" s="30"/>
    </row>
    <row r="1020">
      <c r="B1020" s="22"/>
      <c r="C1020" s="22"/>
      <c r="D1020" s="30"/>
    </row>
    <row r="1021">
      <c r="B1021" s="22"/>
      <c r="C1021" s="22"/>
      <c r="D1021" s="30"/>
    </row>
    <row r="1022">
      <c r="B1022" s="22"/>
      <c r="C1022" s="22"/>
      <c r="D1022" s="30"/>
    </row>
    <row r="1023">
      <c r="B1023" s="22"/>
      <c r="C1023" s="22"/>
      <c r="D1023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6.0"/>
  </cols>
  <sheetData>
    <row r="1">
      <c r="A1" s="1" t="s">
        <v>3</v>
      </c>
      <c r="B1" s="18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>
        <v>45583.0</v>
      </c>
      <c r="B2" s="5">
        <v>2912079.0</v>
      </c>
      <c r="C2" s="5">
        <v>782021.0</v>
      </c>
      <c r="D2" s="6">
        <f t="shared" ref="D2:D9" si="1">C2/B2</f>
        <v>0.2685438822</v>
      </c>
      <c r="F2" s="7"/>
      <c r="G2" s="7"/>
      <c r="H2" s="7"/>
      <c r="I2" s="7"/>
    </row>
    <row r="3">
      <c r="A3" s="2">
        <v>45611.0</v>
      </c>
      <c r="B3" s="5">
        <v>3493680.0</v>
      </c>
      <c r="C3" s="5">
        <v>99516.0</v>
      </c>
      <c r="D3" s="6">
        <f t="shared" si="1"/>
        <v>0.02848457787</v>
      </c>
      <c r="F3" s="7"/>
      <c r="G3" s="7"/>
      <c r="H3" s="7"/>
      <c r="I3" s="7"/>
    </row>
    <row r="4">
      <c r="A4" s="2">
        <v>45636.0</v>
      </c>
      <c r="B4" s="5">
        <v>5183579.0</v>
      </c>
      <c r="C4" s="5">
        <v>1726757.0</v>
      </c>
      <c r="D4" s="6">
        <f t="shared" si="1"/>
        <v>0.3331206103</v>
      </c>
      <c r="F4" s="7"/>
      <c r="G4" s="7"/>
      <c r="H4" s="7"/>
      <c r="I4" s="7"/>
    </row>
    <row r="5">
      <c r="A5" s="2">
        <v>45674.0</v>
      </c>
      <c r="B5" s="5">
        <v>4146429.0</v>
      </c>
      <c r="C5" s="5">
        <v>244594.0</v>
      </c>
      <c r="D5" s="6">
        <f t="shared" si="1"/>
        <v>0.05898907228</v>
      </c>
      <c r="F5" s="7"/>
      <c r="G5" s="7"/>
      <c r="H5" s="7"/>
      <c r="I5" s="7"/>
    </row>
    <row r="6">
      <c r="A6" s="2">
        <v>45701.0</v>
      </c>
      <c r="B6" s="5">
        <v>3597098.0</v>
      </c>
      <c r="C6" s="5">
        <v>324199.0</v>
      </c>
      <c r="D6" s="6">
        <f t="shared" si="1"/>
        <v>0.0901279309</v>
      </c>
      <c r="F6" s="7"/>
      <c r="G6" s="7"/>
      <c r="H6" s="7"/>
      <c r="I6" s="7"/>
    </row>
    <row r="7">
      <c r="A7" s="2">
        <v>45737.0</v>
      </c>
      <c r="B7" s="5">
        <v>3175056.0</v>
      </c>
      <c r="C7" s="5">
        <v>196002.0</v>
      </c>
      <c r="D7" s="6">
        <f t="shared" si="1"/>
        <v>0.06173182457</v>
      </c>
      <c r="F7" s="7"/>
      <c r="G7" s="7"/>
      <c r="H7" s="7"/>
      <c r="I7" s="7"/>
    </row>
    <row r="8">
      <c r="A8" s="2">
        <v>45777.0</v>
      </c>
      <c r="B8" s="5">
        <v>3233382.0</v>
      </c>
      <c r="C8" s="5">
        <v>160264.0</v>
      </c>
      <c r="D8" s="6">
        <f t="shared" si="1"/>
        <v>0.04956543953</v>
      </c>
      <c r="F8" s="7"/>
      <c r="G8" s="7"/>
      <c r="H8" s="7"/>
      <c r="I8" s="7"/>
    </row>
    <row r="9">
      <c r="A9" s="2">
        <v>45799.0</v>
      </c>
      <c r="B9" s="5">
        <v>2744860.0</v>
      </c>
      <c r="C9" s="5">
        <v>172237.0</v>
      </c>
      <c r="D9" s="6">
        <f t="shared" si="1"/>
        <v>0.0627489198</v>
      </c>
      <c r="E9" s="8">
        <f>average(D2:D9)</f>
        <v>0.1191640322</v>
      </c>
      <c r="F9" s="9">
        <f t="shared" ref="F9:G9" si="2">average(B2:B9)</f>
        <v>3560770.375</v>
      </c>
      <c r="G9" s="9">
        <f t="shared" si="2"/>
        <v>463198.75</v>
      </c>
      <c r="H9" s="9">
        <f t="shared" ref="H9:H18" si="4">F9*12</f>
        <v>42729244.5</v>
      </c>
      <c r="I9" s="9">
        <f t="shared" ref="I9:I18" si="5">G9*12*4</f>
        <v>22233540</v>
      </c>
    </row>
    <row r="10">
      <c r="A10" s="2">
        <v>45824.0</v>
      </c>
      <c r="B10" s="5">
        <v>0.0</v>
      </c>
      <c r="C10" s="5">
        <v>-1194394.0</v>
      </c>
      <c r="D10" s="6">
        <f>iferror(C10/B10, 0)</f>
        <v>0</v>
      </c>
      <c r="E10" s="8">
        <f>average(D2:D10)</f>
        <v>0.1059235842</v>
      </c>
      <c r="F10" s="9">
        <f t="shared" ref="F10:G10" si="3">average(B2:B10)</f>
        <v>3165129.222</v>
      </c>
      <c r="G10" s="9">
        <f t="shared" si="3"/>
        <v>279021.7778</v>
      </c>
      <c r="H10" s="9">
        <f t="shared" si="4"/>
        <v>37981550.67</v>
      </c>
      <c r="I10" s="9">
        <f t="shared" si="5"/>
        <v>13393045.33</v>
      </c>
    </row>
    <row r="11">
      <c r="A11" s="2">
        <v>45863.0</v>
      </c>
      <c r="B11" s="5">
        <v>3511478.0</v>
      </c>
      <c r="C11" s="5">
        <v>1593303.0</v>
      </c>
      <c r="D11" s="6">
        <f t="shared" ref="D11:D18" si="7">C11/B11</f>
        <v>0.453741416</v>
      </c>
      <c r="E11" s="8">
        <f>average(D2:D11)</f>
        <v>0.1407053673</v>
      </c>
      <c r="F11" s="9">
        <f t="shared" ref="F11:G11" si="6">average(B2:B11)</f>
        <v>3199764.1</v>
      </c>
      <c r="G11" s="9">
        <f t="shared" si="6"/>
        <v>410449.9</v>
      </c>
      <c r="H11" s="9">
        <f t="shared" si="4"/>
        <v>38397169.2</v>
      </c>
      <c r="I11" s="9">
        <f t="shared" si="5"/>
        <v>19701595.2</v>
      </c>
    </row>
    <row r="12">
      <c r="A12" s="2">
        <v>45895.0</v>
      </c>
      <c r="B12" s="5">
        <v>6474435.0</v>
      </c>
      <c r="C12" s="5">
        <v>2310487.0</v>
      </c>
      <c r="D12" s="6">
        <f t="shared" si="7"/>
        <v>0.3568631085</v>
      </c>
      <c r="E12" s="8">
        <f>average(D2:D12)</f>
        <v>0.1603560711</v>
      </c>
      <c r="F12" s="9">
        <f t="shared" ref="F12:G12" si="8">average(B2:B12)</f>
        <v>3497461.455</v>
      </c>
      <c r="G12" s="9">
        <f t="shared" si="8"/>
        <v>583180.5455</v>
      </c>
      <c r="H12" s="9">
        <f t="shared" si="4"/>
        <v>41969537.45</v>
      </c>
      <c r="I12" s="9">
        <f t="shared" si="5"/>
        <v>27992666.18</v>
      </c>
    </row>
    <row r="13">
      <c r="A13" s="2">
        <v>45926.0</v>
      </c>
      <c r="B13" s="5">
        <v>3371505.0</v>
      </c>
      <c r="C13" s="5">
        <v>-763872.0</v>
      </c>
      <c r="D13" s="6">
        <f t="shared" si="7"/>
        <v>-0.2265670672</v>
      </c>
      <c r="E13" s="8">
        <f t="shared" ref="E13:E18" si="10">average(D2:D13)</f>
        <v>0.1281124762</v>
      </c>
      <c r="F13" s="9">
        <f t="shared" ref="F13:G13" si="9">average(B2:B13)</f>
        <v>3486965.083</v>
      </c>
      <c r="G13" s="9">
        <f t="shared" si="9"/>
        <v>470926.1667</v>
      </c>
      <c r="H13" s="9">
        <f t="shared" si="4"/>
        <v>41843581</v>
      </c>
      <c r="I13" s="9">
        <f t="shared" si="5"/>
        <v>22604456</v>
      </c>
    </row>
    <row r="14">
      <c r="A14" s="2">
        <v>45961.0</v>
      </c>
      <c r="B14" s="5">
        <v>3939167.0</v>
      </c>
      <c r="C14" s="5">
        <v>303229.0</v>
      </c>
      <c r="D14" s="6">
        <f t="shared" si="7"/>
        <v>0.07697794991</v>
      </c>
      <c r="E14" s="8">
        <f t="shared" si="10"/>
        <v>0.1121486485</v>
      </c>
      <c r="F14" s="9">
        <f t="shared" ref="F14:G14" si="11">average(B3:B14)</f>
        <v>3572555.75</v>
      </c>
      <c r="G14" s="9">
        <f t="shared" si="11"/>
        <v>431026.8333</v>
      </c>
      <c r="H14" s="9">
        <f t="shared" si="4"/>
        <v>42870669</v>
      </c>
      <c r="I14" s="9">
        <f t="shared" si="5"/>
        <v>20689288</v>
      </c>
    </row>
    <row r="15">
      <c r="A15" s="2">
        <v>45991.0</v>
      </c>
      <c r="B15" s="5">
        <v>5440412.0</v>
      </c>
      <c r="C15" s="5">
        <v>1310970.0</v>
      </c>
      <c r="D15" s="6">
        <f t="shared" si="7"/>
        <v>0.2409688825</v>
      </c>
      <c r="E15" s="8">
        <f t="shared" si="10"/>
        <v>0.1298556739</v>
      </c>
      <c r="F15" s="9">
        <f t="shared" ref="F15:G15" si="12">average(B4:B15)</f>
        <v>3734783.417</v>
      </c>
      <c r="G15" s="9">
        <f t="shared" si="12"/>
        <v>531981.3333</v>
      </c>
      <c r="H15" s="9">
        <f t="shared" si="4"/>
        <v>44817401</v>
      </c>
      <c r="I15" s="9">
        <f t="shared" si="5"/>
        <v>25535104</v>
      </c>
    </row>
    <row r="16">
      <c r="A16" s="2">
        <v>46022.0</v>
      </c>
      <c r="B16" s="5">
        <v>8099677.0</v>
      </c>
      <c r="C16" s="5">
        <v>3197025.0</v>
      </c>
      <c r="D16" s="6">
        <f t="shared" si="7"/>
        <v>0.3947101841</v>
      </c>
      <c r="E16" s="8">
        <f t="shared" si="10"/>
        <v>0.1349881384</v>
      </c>
      <c r="F16" s="9">
        <f t="shared" ref="F16:G16" si="13">average(B5:B16)</f>
        <v>3977791.583</v>
      </c>
      <c r="G16" s="9">
        <f t="shared" si="13"/>
        <v>654503.6667</v>
      </c>
      <c r="H16" s="9">
        <f t="shared" si="4"/>
        <v>47733499</v>
      </c>
      <c r="I16" s="9">
        <f t="shared" si="5"/>
        <v>31416176</v>
      </c>
    </row>
    <row r="17">
      <c r="A17" s="2">
        <v>46053.0</v>
      </c>
      <c r="B17" s="5">
        <v>6793029.0</v>
      </c>
      <c r="C17" s="5">
        <v>769698.0</v>
      </c>
      <c r="D17" s="6">
        <f t="shared" si="7"/>
        <v>0.1133070387</v>
      </c>
      <c r="E17" s="8">
        <f t="shared" si="10"/>
        <v>0.1395146356</v>
      </c>
      <c r="F17" s="9">
        <f t="shared" ref="F17:G17" si="14">average(B6:B17)</f>
        <v>4198341.583</v>
      </c>
      <c r="G17" s="9">
        <f t="shared" si="14"/>
        <v>698262.3333</v>
      </c>
      <c r="H17" s="9">
        <f t="shared" si="4"/>
        <v>50380099</v>
      </c>
      <c r="I17" s="9">
        <f t="shared" si="5"/>
        <v>33516592</v>
      </c>
    </row>
    <row r="18">
      <c r="A18" s="2">
        <v>46081.0</v>
      </c>
      <c r="B18" s="5">
        <v>5985203.0</v>
      </c>
      <c r="C18" s="5">
        <v>1297902.0</v>
      </c>
      <c r="D18" s="6">
        <f t="shared" si="7"/>
        <v>0.2168517927</v>
      </c>
      <c r="E18" s="8">
        <f t="shared" si="10"/>
        <v>0.1500749574</v>
      </c>
      <c r="F18" s="9">
        <f t="shared" ref="F18:G18" si="15">average(B7:B18)</f>
        <v>4397350.333</v>
      </c>
      <c r="G18" s="9">
        <f t="shared" si="15"/>
        <v>779404.25</v>
      </c>
      <c r="H18" s="9">
        <f t="shared" si="4"/>
        <v>52768204</v>
      </c>
      <c r="I18" s="9">
        <f t="shared" si="5"/>
        <v>37411404</v>
      </c>
    </row>
    <row r="19">
      <c r="A19" s="2"/>
      <c r="B19" s="5"/>
      <c r="C19" s="5"/>
      <c r="D19" s="6"/>
      <c r="E19" s="10"/>
      <c r="F19" s="9"/>
      <c r="G19" s="9"/>
      <c r="H19" s="9"/>
      <c r="I19" s="9"/>
    </row>
    <row r="20">
      <c r="A20" s="2"/>
      <c r="B20" s="5"/>
      <c r="C20" s="5"/>
      <c r="D20" s="6"/>
      <c r="E20" s="10"/>
      <c r="F20" s="9"/>
      <c r="G20" s="9"/>
      <c r="H20" s="9"/>
      <c r="I20" s="9"/>
    </row>
    <row r="21">
      <c r="B21" s="7"/>
      <c r="C21" s="7"/>
    </row>
    <row r="22">
      <c r="B22" s="7"/>
      <c r="C22" s="7"/>
    </row>
    <row r="23">
      <c r="A23" s="11"/>
      <c r="B23" s="12"/>
      <c r="C23" s="1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3">
        <f t="array" ref="A24:I24">INDEX(A2:I23, COUNTA(A2:A23), 0)</f>
        <v>46081</v>
      </c>
      <c r="B24" s="14">
        <v>5985203.0</v>
      </c>
      <c r="C24" s="14">
        <v>1297902.0</v>
      </c>
      <c r="D24" s="15">
        <v>0.2168517926626716</v>
      </c>
      <c r="E24" s="15">
        <v>0.15007495742703156</v>
      </c>
      <c r="F24" s="14">
        <v>4397350.333333333</v>
      </c>
      <c r="G24" s="14">
        <v>779404.25</v>
      </c>
      <c r="H24" s="14">
        <v>5.2768204E7</v>
      </c>
      <c r="I24" s="14">
        <v>3.7411404E7</v>
      </c>
    </row>
    <row r="27">
      <c r="A27" s="1" t="s">
        <v>12</v>
      </c>
      <c r="F27" s="16">
        <f>F24*12</f>
        <v>52768204</v>
      </c>
    </row>
    <row r="28">
      <c r="A28" s="1" t="s">
        <v>13</v>
      </c>
      <c r="G28" s="16">
        <f>G24*12*4</f>
        <v>37411404</v>
      </c>
    </row>
    <row r="29">
      <c r="A29" s="1" t="s">
        <v>14</v>
      </c>
      <c r="H29" s="9">
        <f>(F27+G28)/2</f>
        <v>45089804</v>
      </c>
    </row>
    <row r="31">
      <c r="A31" s="1" t="s">
        <v>15</v>
      </c>
      <c r="B31" s="1">
        <v>1.0</v>
      </c>
      <c r="C31" s="1" t="s">
        <v>16</v>
      </c>
      <c r="F31" s="16">
        <f>F27/100*B31</f>
        <v>527682.04</v>
      </c>
    </row>
    <row r="32">
      <c r="G32" s="16">
        <f>G28/100*B31</f>
        <v>374114.04</v>
      </c>
    </row>
    <row r="33">
      <c r="A33" s="1" t="s">
        <v>14</v>
      </c>
      <c r="H33" s="9">
        <f>(F31+G32)/2</f>
        <v>450898.04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8" t="s">
        <v>17</v>
      </c>
      <c r="C1" s="18" t="s">
        <v>18</v>
      </c>
      <c r="D1" s="19" t="s">
        <v>19</v>
      </c>
      <c r="E1" s="1" t="s">
        <v>20</v>
      </c>
      <c r="F1" s="1" t="s">
        <v>21</v>
      </c>
    </row>
    <row r="2">
      <c r="A2" s="2">
        <v>45611.0</v>
      </c>
      <c r="B2" s="18">
        <v>0.0</v>
      </c>
      <c r="C2" s="18">
        <v>34.53</v>
      </c>
      <c r="D2" s="20">
        <f t="shared" ref="D2:D18" si="1">B2/C2</f>
        <v>0</v>
      </c>
      <c r="E2" s="1">
        <v>10.0</v>
      </c>
    </row>
    <row r="3">
      <c r="A3" s="2">
        <v>45636.0</v>
      </c>
      <c r="B3" s="18">
        <v>0.0</v>
      </c>
      <c r="C3" s="18">
        <v>33.68</v>
      </c>
      <c r="D3" s="20">
        <f t="shared" si="1"/>
        <v>0</v>
      </c>
      <c r="E3" s="1">
        <v>10.0</v>
      </c>
    </row>
    <row r="4">
      <c r="A4" s="2">
        <v>45674.0</v>
      </c>
      <c r="B4" s="18">
        <v>150000.0</v>
      </c>
      <c r="C4" s="18">
        <v>34.56</v>
      </c>
      <c r="D4" s="20">
        <f t="shared" si="1"/>
        <v>4340.277778</v>
      </c>
      <c r="E4" s="1">
        <v>10.0</v>
      </c>
    </row>
    <row r="5">
      <c r="A5" s="2">
        <v>45701.0</v>
      </c>
      <c r="B5" s="18">
        <v>25000.0</v>
      </c>
      <c r="C5" s="18">
        <v>33.94</v>
      </c>
      <c r="D5" s="20">
        <f t="shared" si="1"/>
        <v>736.5939894</v>
      </c>
      <c r="E5" s="1">
        <v>10.0</v>
      </c>
    </row>
    <row r="6">
      <c r="A6" s="2">
        <v>45737.0</v>
      </c>
      <c r="B6" s="18">
        <v>25000.0</v>
      </c>
      <c r="C6" s="18">
        <v>33.57</v>
      </c>
      <c r="D6" s="20">
        <f t="shared" si="1"/>
        <v>744.712541</v>
      </c>
      <c r="E6" s="1">
        <v>10.0</v>
      </c>
    </row>
    <row r="7">
      <c r="A7" s="2">
        <v>45777.0</v>
      </c>
      <c r="B7" s="18">
        <v>25000.0</v>
      </c>
      <c r="C7" s="18">
        <v>33.37</v>
      </c>
      <c r="D7" s="20">
        <f t="shared" si="1"/>
        <v>749.1759065</v>
      </c>
      <c r="E7" s="1">
        <v>10.0</v>
      </c>
    </row>
    <row r="8">
      <c r="A8" s="2">
        <v>45799.0</v>
      </c>
      <c r="B8" s="18">
        <v>25000.0</v>
      </c>
      <c r="C8" s="18">
        <v>33.42</v>
      </c>
      <c r="D8" s="20">
        <f t="shared" si="1"/>
        <v>748.0550569</v>
      </c>
      <c r="E8" s="1">
        <v>10.0</v>
      </c>
    </row>
    <row r="9">
      <c r="A9" s="2">
        <v>45824.0</v>
      </c>
      <c r="B9" s="18">
        <v>0.0</v>
      </c>
      <c r="C9" s="18">
        <v>32.41</v>
      </c>
      <c r="D9" s="20">
        <f t="shared" si="1"/>
        <v>0</v>
      </c>
      <c r="E9" s="1">
        <v>10.0</v>
      </c>
    </row>
    <row r="10">
      <c r="A10" s="2">
        <v>45863.0</v>
      </c>
      <c r="B10" s="18">
        <v>0.0</v>
      </c>
      <c r="C10" s="18">
        <v>32.45</v>
      </c>
      <c r="D10" s="20">
        <f t="shared" si="1"/>
        <v>0</v>
      </c>
      <c r="E10" s="1">
        <v>10.0</v>
      </c>
    </row>
    <row r="11">
      <c r="A11" s="2">
        <v>45895.0</v>
      </c>
      <c r="B11" s="18">
        <v>100000.0</v>
      </c>
      <c r="C11" s="18">
        <v>32.38</v>
      </c>
      <c r="D11" s="20">
        <f t="shared" si="1"/>
        <v>3088.326127</v>
      </c>
      <c r="E11" s="1">
        <v>10.0</v>
      </c>
    </row>
    <row r="12">
      <c r="A12" s="2">
        <v>45926.0</v>
      </c>
      <c r="B12" s="18">
        <v>200000.0</v>
      </c>
      <c r="C12" s="18">
        <v>31.83</v>
      </c>
      <c r="D12" s="20">
        <f t="shared" si="1"/>
        <v>6283.380459</v>
      </c>
      <c r="E12" s="1">
        <v>10.0</v>
      </c>
    </row>
    <row r="13">
      <c r="A13" s="2">
        <v>45957.0</v>
      </c>
      <c r="B13" s="18">
        <v>0.0</v>
      </c>
      <c r="C13" s="18">
        <v>32.66</v>
      </c>
      <c r="D13" s="20">
        <f t="shared" si="1"/>
        <v>0</v>
      </c>
      <c r="E13" s="1">
        <v>10.0</v>
      </c>
    </row>
    <row r="14">
      <c r="A14" s="2">
        <v>45992.0</v>
      </c>
      <c r="B14" s="18">
        <v>30000.0</v>
      </c>
      <c r="C14" s="18">
        <v>31.97</v>
      </c>
      <c r="D14" s="20">
        <f t="shared" si="1"/>
        <v>938.379731</v>
      </c>
      <c r="E14" s="1">
        <v>10.0</v>
      </c>
    </row>
    <row r="15">
      <c r="A15" s="2">
        <v>46020.0</v>
      </c>
      <c r="B15" s="18">
        <v>120000.0</v>
      </c>
      <c r="C15" s="18">
        <v>31.44</v>
      </c>
      <c r="D15" s="20">
        <f t="shared" si="1"/>
        <v>3816.793893</v>
      </c>
      <c r="E15" s="1">
        <v>10.0</v>
      </c>
    </row>
    <row r="16">
      <c r="A16" s="2">
        <v>46052.0</v>
      </c>
      <c r="B16" s="18">
        <v>300000.0</v>
      </c>
      <c r="C16" s="18">
        <v>31.4</v>
      </c>
      <c r="D16" s="20">
        <f t="shared" si="1"/>
        <v>9554.140127</v>
      </c>
      <c r="E16" s="1">
        <v>10.0</v>
      </c>
    </row>
    <row r="17">
      <c r="A17" s="2">
        <v>46081.0</v>
      </c>
      <c r="B17" s="18">
        <v>70000.0</v>
      </c>
      <c r="C17" s="18">
        <v>32.0</v>
      </c>
      <c r="D17" s="20">
        <f t="shared" si="1"/>
        <v>2187.5</v>
      </c>
      <c r="E17" s="1">
        <v>10.0</v>
      </c>
    </row>
    <row r="18">
      <c r="A18" s="2">
        <v>46112.0</v>
      </c>
      <c r="B18" s="18">
        <v>100000.0</v>
      </c>
      <c r="C18" s="18">
        <v>32.89</v>
      </c>
      <c r="D18" s="20">
        <f t="shared" si="1"/>
        <v>3040.437823</v>
      </c>
      <c r="E18" s="1">
        <v>10.0</v>
      </c>
    </row>
    <row r="19">
      <c r="A19" s="2"/>
      <c r="B19" s="18"/>
      <c r="C19" s="18"/>
      <c r="D19" s="20"/>
    </row>
    <row r="20">
      <c r="A20" s="2"/>
      <c r="B20" s="18"/>
      <c r="C20" s="18"/>
      <c r="D20" s="20"/>
    </row>
    <row r="21">
      <c r="A21" s="2"/>
      <c r="B21" s="18"/>
      <c r="C21" s="18"/>
      <c r="D21" s="20"/>
    </row>
    <row r="22">
      <c r="A22" s="2"/>
      <c r="B22" s="18"/>
      <c r="C22" s="18"/>
      <c r="D22" s="20"/>
    </row>
    <row r="23">
      <c r="A23" s="2"/>
      <c r="B23" s="18"/>
      <c r="C23" s="18"/>
      <c r="D23" s="20"/>
    </row>
    <row r="24">
      <c r="A24" s="2"/>
      <c r="B24" s="18"/>
      <c r="C24" s="18"/>
      <c r="D24" s="20"/>
    </row>
    <row r="25">
      <c r="A25" s="2"/>
      <c r="B25" s="18"/>
      <c r="C25" s="18"/>
      <c r="D25" s="20"/>
    </row>
    <row r="26">
      <c r="B26" s="22"/>
      <c r="C26" s="22"/>
      <c r="D26" s="30"/>
    </row>
    <row r="27">
      <c r="B27" s="22"/>
      <c r="C27" s="22"/>
      <c r="D27" s="30"/>
    </row>
    <row r="28">
      <c r="A28" s="11"/>
      <c r="B28" s="27"/>
      <c r="C28" s="27"/>
      <c r="D28" s="28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3" t="s">
        <v>26</v>
      </c>
      <c r="B29" s="34">
        <f>sum(B2:B28)</f>
        <v>1170000</v>
      </c>
      <c r="C29" s="22"/>
      <c r="D29" s="34">
        <f>sum(D2:D28)</f>
        <v>36227.77343</v>
      </c>
      <c r="F29" s="37"/>
    </row>
    <row r="30">
      <c r="A30" s="1" t="s">
        <v>27</v>
      </c>
      <c r="B30" s="8">
        <f>B29/C35</f>
        <v>0.13</v>
      </c>
      <c r="C30" s="22"/>
      <c r="D30" s="8">
        <f>D29/C36</f>
        <v>0.1479300748</v>
      </c>
    </row>
    <row r="31">
      <c r="A31" s="1" t="s">
        <v>28</v>
      </c>
      <c r="B31" s="26">
        <f>B29/C34</f>
        <v>117000</v>
      </c>
      <c r="C31" s="22"/>
      <c r="D31" s="41"/>
    </row>
    <row r="32">
      <c r="A32" s="1"/>
      <c r="B32" s="41"/>
      <c r="C32" s="22"/>
      <c r="D32" s="41"/>
      <c r="I32" s="22"/>
    </row>
    <row r="33">
      <c r="A33" s="37" t="s">
        <v>26</v>
      </c>
      <c r="B33" s="22"/>
      <c r="C33" s="22"/>
      <c r="D33" s="30"/>
    </row>
    <row r="34">
      <c r="A34" s="1" t="s">
        <v>33</v>
      </c>
      <c r="B34" s="22"/>
      <c r="C34" s="18">
        <v>10.0</v>
      </c>
      <c r="D34" s="19" t="s">
        <v>16</v>
      </c>
    </row>
    <row r="35">
      <c r="A35" s="1" t="s">
        <v>35</v>
      </c>
      <c r="B35" s="22"/>
      <c r="C35" s="54">
        <v>9000000.0</v>
      </c>
      <c r="D35" s="19" t="s">
        <v>36</v>
      </c>
      <c r="G35" s="1"/>
    </row>
    <row r="36">
      <c r="A36" s="1" t="s">
        <v>38</v>
      </c>
      <c r="B36" s="22"/>
      <c r="C36" s="39">
        <f>C35/36.75</f>
        <v>244897.9592</v>
      </c>
      <c r="D36" s="19" t="s">
        <v>39</v>
      </c>
    </row>
    <row r="37">
      <c r="A37" s="1" t="s">
        <v>40</v>
      </c>
      <c r="B37" s="22"/>
      <c r="C37" s="18">
        <v>900000.0</v>
      </c>
      <c r="D37" s="19" t="s">
        <v>36</v>
      </c>
      <c r="I37" s="25"/>
    </row>
    <row r="38">
      <c r="B38" s="22"/>
      <c r="C38" s="22"/>
      <c r="D38" s="30"/>
      <c r="G38" s="3"/>
    </row>
    <row r="39">
      <c r="A39" s="37"/>
      <c r="B39" s="22"/>
      <c r="C39" s="22"/>
      <c r="D39" s="30"/>
      <c r="G39" s="3"/>
      <c r="I39" s="41"/>
    </row>
    <row r="40">
      <c r="A40" s="37"/>
      <c r="B40" s="18"/>
      <c r="C40" s="18"/>
      <c r="D40" s="18"/>
      <c r="I40" s="22"/>
    </row>
    <row r="41">
      <c r="B41" s="18"/>
      <c r="C41" s="18"/>
      <c r="D41" s="18"/>
    </row>
    <row r="42">
      <c r="B42" s="2"/>
      <c r="C42" s="2"/>
      <c r="D42" s="30"/>
    </row>
    <row r="43">
      <c r="B43" s="18"/>
      <c r="C43" s="18"/>
      <c r="D43" s="18"/>
    </row>
    <row r="44">
      <c r="B44" s="22"/>
      <c r="C44" s="18"/>
      <c r="D44" s="19"/>
    </row>
    <row r="45">
      <c r="B45" s="22"/>
      <c r="C45" s="22"/>
      <c r="D45" s="19"/>
    </row>
    <row r="46">
      <c r="B46" s="22"/>
      <c r="C46" s="22"/>
      <c r="D46" s="30"/>
    </row>
    <row r="47">
      <c r="A47" s="37"/>
      <c r="B47" s="22"/>
      <c r="C47" s="22"/>
      <c r="D47" s="30"/>
    </row>
    <row r="48">
      <c r="A48" s="37"/>
      <c r="B48" s="22"/>
      <c r="C48" s="22"/>
      <c r="D48" s="30"/>
    </row>
    <row r="49">
      <c r="B49" s="18"/>
      <c r="C49" s="18"/>
      <c r="D49" s="18"/>
    </row>
    <row r="50">
      <c r="B50" s="22"/>
      <c r="C50" s="2"/>
      <c r="D50" s="30"/>
    </row>
    <row r="51">
      <c r="B51" s="18"/>
      <c r="C51" s="18"/>
      <c r="D51" s="18"/>
    </row>
    <row r="52">
      <c r="B52" s="22"/>
      <c r="C52" s="18"/>
      <c r="D52" s="18"/>
    </row>
    <row r="53">
      <c r="B53" s="22"/>
      <c r="C53" s="18"/>
      <c r="D53" s="19"/>
    </row>
    <row r="54">
      <c r="B54" s="22"/>
      <c r="C54" s="22"/>
      <c r="D54" s="30"/>
    </row>
    <row r="55">
      <c r="B55" s="22"/>
      <c r="C55" s="22"/>
      <c r="D55" s="30"/>
    </row>
    <row r="56">
      <c r="B56" s="22"/>
      <c r="C56" s="22"/>
      <c r="D56" s="30"/>
    </row>
    <row r="57">
      <c r="B57" s="22"/>
      <c r="C57" s="22"/>
      <c r="D57" s="30"/>
    </row>
    <row r="58">
      <c r="B58" s="22"/>
      <c r="C58" s="22"/>
      <c r="D58" s="30"/>
    </row>
    <row r="59">
      <c r="B59" s="22"/>
      <c r="C59" s="22"/>
      <c r="D59" s="30"/>
    </row>
    <row r="60">
      <c r="B60" s="22"/>
      <c r="C60" s="22"/>
      <c r="D60" s="30"/>
    </row>
    <row r="61">
      <c r="B61" s="22"/>
      <c r="C61" s="22"/>
      <c r="D61" s="30"/>
    </row>
    <row r="62">
      <c r="B62" s="22"/>
      <c r="C62" s="22"/>
      <c r="D62" s="30"/>
    </row>
    <row r="63">
      <c r="B63" s="22"/>
      <c r="C63" s="22"/>
      <c r="D63" s="30"/>
    </row>
    <row r="64">
      <c r="B64" s="22"/>
      <c r="C64" s="22"/>
      <c r="D64" s="30"/>
    </row>
    <row r="65">
      <c r="B65" s="22"/>
      <c r="C65" s="22"/>
      <c r="D65" s="30"/>
    </row>
    <row r="66">
      <c r="B66" s="22"/>
      <c r="C66" s="22"/>
      <c r="D66" s="30"/>
    </row>
    <row r="67">
      <c r="B67" s="22"/>
      <c r="C67" s="22"/>
      <c r="D67" s="30"/>
    </row>
    <row r="68">
      <c r="B68" s="22"/>
      <c r="C68" s="22"/>
      <c r="D68" s="30"/>
    </row>
    <row r="69">
      <c r="B69" s="22"/>
      <c r="C69" s="22"/>
      <c r="D69" s="30"/>
    </row>
    <row r="70">
      <c r="B70" s="22"/>
      <c r="C70" s="22"/>
      <c r="D70" s="30"/>
    </row>
    <row r="71">
      <c r="B71" s="22"/>
      <c r="C71" s="22"/>
      <c r="D71" s="30"/>
    </row>
    <row r="72">
      <c r="B72" s="22"/>
      <c r="C72" s="22"/>
      <c r="D72" s="30"/>
    </row>
    <row r="73">
      <c r="B73" s="22"/>
      <c r="C73" s="22"/>
      <c r="D73" s="30"/>
    </row>
    <row r="74">
      <c r="B74" s="22"/>
      <c r="C74" s="22"/>
      <c r="D74" s="30"/>
    </row>
    <row r="75">
      <c r="B75" s="22"/>
      <c r="C75" s="22"/>
      <c r="D75" s="30"/>
    </row>
    <row r="76">
      <c r="B76" s="22"/>
      <c r="C76" s="22"/>
      <c r="D76" s="30"/>
    </row>
    <row r="77">
      <c r="B77" s="22"/>
      <c r="C77" s="22"/>
      <c r="D77" s="30"/>
    </row>
    <row r="78">
      <c r="B78" s="22"/>
      <c r="C78" s="22"/>
      <c r="D78" s="30"/>
    </row>
    <row r="79">
      <c r="B79" s="22"/>
      <c r="C79" s="22"/>
      <c r="D79" s="30"/>
    </row>
    <row r="80">
      <c r="B80" s="22"/>
      <c r="C80" s="22"/>
      <c r="D80" s="30"/>
    </row>
    <row r="81">
      <c r="B81" s="22"/>
      <c r="C81" s="22"/>
      <c r="D81" s="30"/>
    </row>
    <row r="82">
      <c r="B82" s="22"/>
      <c r="C82" s="22"/>
      <c r="D82" s="30"/>
    </row>
    <row r="83">
      <c r="B83" s="22"/>
      <c r="C83" s="22"/>
      <c r="D83" s="30"/>
    </row>
    <row r="84">
      <c r="B84" s="22"/>
      <c r="C84" s="22"/>
      <c r="D84" s="30"/>
    </row>
    <row r="85">
      <c r="B85" s="22"/>
      <c r="C85" s="22"/>
      <c r="D85" s="30"/>
    </row>
    <row r="86">
      <c r="B86" s="22"/>
      <c r="C86" s="22"/>
      <c r="D86" s="30"/>
    </row>
    <row r="87">
      <c r="B87" s="22"/>
      <c r="C87" s="22"/>
      <c r="D87" s="30"/>
    </row>
    <row r="88">
      <c r="B88" s="22"/>
      <c r="C88" s="22"/>
      <c r="D88" s="30"/>
    </row>
    <row r="89">
      <c r="B89" s="22"/>
      <c r="C89" s="22"/>
      <c r="D89" s="30"/>
    </row>
    <row r="90">
      <c r="B90" s="22"/>
      <c r="C90" s="22"/>
      <c r="D90" s="30"/>
    </row>
    <row r="91">
      <c r="B91" s="22"/>
      <c r="C91" s="22"/>
      <c r="D91" s="30"/>
    </row>
    <row r="92">
      <c r="B92" s="22"/>
      <c r="C92" s="22"/>
      <c r="D92" s="30"/>
    </row>
    <row r="93">
      <c r="B93" s="22"/>
      <c r="C93" s="22"/>
      <c r="D93" s="30"/>
    </row>
    <row r="94">
      <c r="B94" s="22"/>
      <c r="C94" s="22"/>
      <c r="D94" s="30"/>
    </row>
    <row r="95">
      <c r="B95" s="22"/>
      <c r="C95" s="22"/>
      <c r="D95" s="30"/>
    </row>
    <row r="96">
      <c r="B96" s="22"/>
      <c r="C96" s="22"/>
      <c r="D96" s="30"/>
    </row>
    <row r="97">
      <c r="B97" s="22"/>
      <c r="C97" s="22"/>
      <c r="D97" s="30"/>
    </row>
    <row r="98">
      <c r="B98" s="22"/>
      <c r="C98" s="22"/>
      <c r="D98" s="30"/>
    </row>
    <row r="99">
      <c r="B99" s="22"/>
      <c r="C99" s="22"/>
      <c r="D99" s="30"/>
    </row>
    <row r="100">
      <c r="B100" s="22"/>
      <c r="C100" s="22"/>
      <c r="D100" s="30"/>
    </row>
    <row r="101">
      <c r="B101" s="22"/>
      <c r="C101" s="22"/>
      <c r="D101" s="30"/>
    </row>
    <row r="102">
      <c r="B102" s="22"/>
      <c r="C102" s="22"/>
      <c r="D102" s="30"/>
    </row>
    <row r="103">
      <c r="B103" s="22"/>
      <c r="C103" s="22"/>
      <c r="D103" s="30"/>
    </row>
    <row r="104">
      <c r="B104" s="22"/>
      <c r="C104" s="22"/>
      <c r="D104" s="30"/>
    </row>
    <row r="105">
      <c r="B105" s="22"/>
      <c r="C105" s="22"/>
      <c r="D105" s="30"/>
    </row>
    <row r="106">
      <c r="B106" s="22"/>
      <c r="C106" s="22"/>
      <c r="D106" s="30"/>
    </row>
    <row r="107">
      <c r="B107" s="22"/>
      <c r="C107" s="22"/>
      <c r="D107" s="30"/>
    </row>
    <row r="108">
      <c r="B108" s="22"/>
      <c r="C108" s="22"/>
      <c r="D108" s="30"/>
    </row>
    <row r="109">
      <c r="B109" s="22"/>
      <c r="C109" s="22"/>
      <c r="D109" s="30"/>
    </row>
    <row r="110">
      <c r="B110" s="22"/>
      <c r="C110" s="22"/>
      <c r="D110" s="30"/>
    </row>
    <row r="111">
      <c r="B111" s="22"/>
      <c r="C111" s="22"/>
      <c r="D111" s="30"/>
    </row>
    <row r="112">
      <c r="B112" s="22"/>
      <c r="C112" s="22"/>
      <c r="D112" s="30"/>
    </row>
    <row r="113">
      <c r="B113" s="22"/>
      <c r="C113" s="22"/>
      <c r="D113" s="30"/>
    </row>
    <row r="114">
      <c r="B114" s="22"/>
      <c r="C114" s="22"/>
      <c r="D114" s="30"/>
    </row>
    <row r="115">
      <c r="B115" s="22"/>
      <c r="C115" s="22"/>
      <c r="D115" s="30"/>
    </row>
    <row r="116">
      <c r="B116" s="22"/>
      <c r="C116" s="22"/>
      <c r="D116" s="30"/>
    </row>
    <row r="117">
      <c r="B117" s="22"/>
      <c r="C117" s="22"/>
      <c r="D117" s="30"/>
    </row>
    <row r="118">
      <c r="B118" s="22"/>
      <c r="C118" s="22"/>
      <c r="D118" s="30"/>
    </row>
    <row r="119">
      <c r="B119" s="22"/>
      <c r="C119" s="22"/>
      <c r="D119" s="30"/>
    </row>
    <row r="120">
      <c r="B120" s="22"/>
      <c r="C120" s="22"/>
      <c r="D120" s="30"/>
    </row>
    <row r="121">
      <c r="B121" s="22"/>
      <c r="C121" s="22"/>
      <c r="D121" s="30"/>
    </row>
    <row r="122">
      <c r="B122" s="22"/>
      <c r="C122" s="22"/>
      <c r="D122" s="30"/>
    </row>
    <row r="123">
      <c r="B123" s="22"/>
      <c r="C123" s="22"/>
      <c r="D123" s="30"/>
    </row>
    <row r="124">
      <c r="B124" s="22"/>
      <c r="C124" s="22"/>
      <c r="D124" s="30"/>
    </row>
    <row r="125">
      <c r="B125" s="22"/>
      <c r="C125" s="22"/>
      <c r="D125" s="30"/>
    </row>
    <row r="126">
      <c r="B126" s="22"/>
      <c r="C126" s="22"/>
      <c r="D126" s="30"/>
    </row>
    <row r="127">
      <c r="B127" s="22"/>
      <c r="C127" s="22"/>
      <c r="D127" s="30"/>
    </row>
    <row r="128">
      <c r="B128" s="22"/>
      <c r="C128" s="22"/>
      <c r="D128" s="30"/>
    </row>
    <row r="129">
      <c r="B129" s="22"/>
      <c r="C129" s="22"/>
      <c r="D129" s="30"/>
    </row>
    <row r="130">
      <c r="B130" s="22"/>
      <c r="C130" s="22"/>
      <c r="D130" s="30"/>
    </row>
    <row r="131">
      <c r="B131" s="22"/>
      <c r="C131" s="22"/>
      <c r="D131" s="30"/>
    </row>
    <row r="132">
      <c r="B132" s="22"/>
      <c r="C132" s="22"/>
      <c r="D132" s="30"/>
    </row>
    <row r="133">
      <c r="B133" s="22"/>
      <c r="C133" s="22"/>
      <c r="D133" s="30"/>
    </row>
    <row r="134">
      <c r="B134" s="22"/>
      <c r="C134" s="22"/>
      <c r="D134" s="30"/>
    </row>
    <row r="135">
      <c r="B135" s="22"/>
      <c r="C135" s="22"/>
      <c r="D135" s="30"/>
    </row>
    <row r="136">
      <c r="B136" s="22"/>
      <c r="C136" s="22"/>
      <c r="D136" s="30"/>
    </row>
    <row r="137">
      <c r="B137" s="22"/>
      <c r="C137" s="22"/>
      <c r="D137" s="30"/>
    </row>
    <row r="138">
      <c r="B138" s="22"/>
      <c r="C138" s="22"/>
      <c r="D138" s="30"/>
    </row>
    <row r="139">
      <c r="B139" s="22"/>
      <c r="C139" s="22"/>
      <c r="D139" s="30"/>
    </row>
    <row r="140">
      <c r="B140" s="22"/>
      <c r="C140" s="22"/>
      <c r="D140" s="30"/>
    </row>
    <row r="141">
      <c r="B141" s="22"/>
      <c r="C141" s="22"/>
      <c r="D141" s="30"/>
    </row>
    <row r="142">
      <c r="B142" s="22"/>
      <c r="C142" s="22"/>
      <c r="D142" s="30"/>
    </row>
    <row r="143">
      <c r="B143" s="22"/>
      <c r="C143" s="22"/>
      <c r="D143" s="30"/>
    </row>
    <row r="144">
      <c r="B144" s="22"/>
      <c r="C144" s="22"/>
      <c r="D144" s="30"/>
    </row>
    <row r="145">
      <c r="B145" s="22"/>
      <c r="C145" s="22"/>
      <c r="D145" s="30"/>
    </row>
    <row r="146">
      <c r="B146" s="22"/>
      <c r="C146" s="22"/>
      <c r="D146" s="30"/>
    </row>
    <row r="147">
      <c r="B147" s="22"/>
      <c r="C147" s="22"/>
      <c r="D147" s="30"/>
    </row>
    <row r="148">
      <c r="B148" s="22"/>
      <c r="C148" s="22"/>
      <c r="D148" s="30"/>
    </row>
    <row r="149">
      <c r="B149" s="22"/>
      <c r="C149" s="22"/>
      <c r="D149" s="30"/>
    </row>
    <row r="150">
      <c r="B150" s="22"/>
      <c r="C150" s="22"/>
      <c r="D150" s="30"/>
    </row>
    <row r="151">
      <c r="B151" s="22"/>
      <c r="C151" s="22"/>
      <c r="D151" s="30"/>
    </row>
    <row r="152">
      <c r="B152" s="22"/>
      <c r="C152" s="22"/>
      <c r="D152" s="30"/>
    </row>
    <row r="153">
      <c r="B153" s="22"/>
      <c r="C153" s="22"/>
      <c r="D153" s="30"/>
    </row>
    <row r="154">
      <c r="B154" s="22"/>
      <c r="C154" s="22"/>
      <c r="D154" s="30"/>
    </row>
    <row r="155">
      <c r="B155" s="22"/>
      <c r="C155" s="22"/>
      <c r="D155" s="30"/>
    </row>
    <row r="156">
      <c r="B156" s="22"/>
      <c r="C156" s="22"/>
      <c r="D156" s="30"/>
    </row>
    <row r="157">
      <c r="B157" s="22"/>
      <c r="C157" s="22"/>
      <c r="D157" s="30"/>
    </row>
    <row r="158">
      <c r="B158" s="22"/>
      <c r="C158" s="22"/>
      <c r="D158" s="30"/>
    </row>
    <row r="159">
      <c r="B159" s="22"/>
      <c r="C159" s="22"/>
      <c r="D159" s="30"/>
    </row>
    <row r="160">
      <c r="B160" s="22"/>
      <c r="C160" s="22"/>
      <c r="D160" s="30"/>
    </row>
    <row r="161">
      <c r="B161" s="22"/>
      <c r="C161" s="22"/>
      <c r="D161" s="30"/>
    </row>
    <row r="162">
      <c r="B162" s="22"/>
      <c r="C162" s="22"/>
      <c r="D162" s="30"/>
    </row>
    <row r="163">
      <c r="B163" s="22"/>
      <c r="C163" s="22"/>
      <c r="D163" s="30"/>
    </row>
    <row r="164">
      <c r="B164" s="22"/>
      <c r="C164" s="22"/>
      <c r="D164" s="30"/>
    </row>
    <row r="165">
      <c r="B165" s="22"/>
      <c r="C165" s="22"/>
      <c r="D165" s="30"/>
    </row>
    <row r="166">
      <c r="B166" s="22"/>
      <c r="C166" s="22"/>
      <c r="D166" s="30"/>
    </row>
    <row r="167">
      <c r="B167" s="22"/>
      <c r="C167" s="22"/>
      <c r="D167" s="30"/>
    </row>
    <row r="168">
      <c r="B168" s="22"/>
      <c r="C168" s="22"/>
      <c r="D168" s="30"/>
    </row>
    <row r="169">
      <c r="B169" s="22"/>
      <c r="C169" s="22"/>
      <c r="D169" s="30"/>
    </row>
    <row r="170">
      <c r="B170" s="22"/>
      <c r="C170" s="22"/>
      <c r="D170" s="30"/>
    </row>
    <row r="171">
      <c r="B171" s="22"/>
      <c r="C171" s="22"/>
      <c r="D171" s="30"/>
    </row>
    <row r="172">
      <c r="B172" s="22"/>
      <c r="C172" s="22"/>
      <c r="D172" s="30"/>
    </row>
    <row r="173">
      <c r="B173" s="22"/>
      <c r="C173" s="22"/>
      <c r="D173" s="30"/>
    </row>
    <row r="174">
      <c r="B174" s="22"/>
      <c r="C174" s="22"/>
      <c r="D174" s="30"/>
    </row>
    <row r="175">
      <c r="B175" s="22"/>
      <c r="C175" s="22"/>
      <c r="D175" s="30"/>
    </row>
    <row r="176">
      <c r="B176" s="22"/>
      <c r="C176" s="22"/>
      <c r="D176" s="30"/>
    </row>
    <row r="177">
      <c r="B177" s="22"/>
      <c r="C177" s="22"/>
      <c r="D177" s="30"/>
    </row>
    <row r="178">
      <c r="B178" s="22"/>
      <c r="C178" s="22"/>
      <c r="D178" s="30"/>
    </row>
    <row r="179">
      <c r="B179" s="22"/>
      <c r="C179" s="22"/>
      <c r="D179" s="30"/>
    </row>
    <row r="180">
      <c r="B180" s="22"/>
      <c r="C180" s="22"/>
      <c r="D180" s="30"/>
    </row>
    <row r="181">
      <c r="B181" s="22"/>
      <c r="C181" s="22"/>
      <c r="D181" s="30"/>
    </row>
    <row r="182">
      <c r="B182" s="22"/>
      <c r="C182" s="22"/>
      <c r="D182" s="30"/>
    </row>
    <row r="183">
      <c r="B183" s="22"/>
      <c r="C183" s="22"/>
      <c r="D183" s="30"/>
    </row>
    <row r="184">
      <c r="B184" s="22"/>
      <c r="C184" s="22"/>
      <c r="D184" s="30"/>
    </row>
    <row r="185">
      <c r="B185" s="22"/>
      <c r="C185" s="22"/>
      <c r="D185" s="30"/>
    </row>
    <row r="186">
      <c r="B186" s="22"/>
      <c r="C186" s="22"/>
      <c r="D186" s="30"/>
    </row>
    <row r="187">
      <c r="B187" s="22"/>
      <c r="C187" s="22"/>
      <c r="D187" s="30"/>
    </row>
    <row r="188">
      <c r="B188" s="22"/>
      <c r="C188" s="22"/>
      <c r="D188" s="30"/>
    </row>
    <row r="189">
      <c r="B189" s="22"/>
      <c r="C189" s="22"/>
      <c r="D189" s="30"/>
    </row>
    <row r="190">
      <c r="B190" s="22"/>
      <c r="C190" s="22"/>
      <c r="D190" s="30"/>
    </row>
    <row r="191">
      <c r="B191" s="22"/>
      <c r="C191" s="22"/>
      <c r="D191" s="30"/>
    </row>
    <row r="192">
      <c r="B192" s="22"/>
      <c r="C192" s="22"/>
      <c r="D192" s="30"/>
    </row>
    <row r="193">
      <c r="B193" s="22"/>
      <c r="C193" s="22"/>
      <c r="D193" s="30"/>
    </row>
    <row r="194">
      <c r="B194" s="22"/>
      <c r="C194" s="22"/>
      <c r="D194" s="30"/>
    </row>
    <row r="195">
      <c r="B195" s="22"/>
      <c r="C195" s="22"/>
      <c r="D195" s="30"/>
    </row>
    <row r="196">
      <c r="B196" s="22"/>
      <c r="C196" s="22"/>
      <c r="D196" s="30"/>
    </row>
    <row r="197">
      <c r="B197" s="22"/>
      <c r="C197" s="22"/>
      <c r="D197" s="30"/>
    </row>
    <row r="198">
      <c r="B198" s="22"/>
      <c r="C198" s="22"/>
      <c r="D198" s="30"/>
    </row>
    <row r="199">
      <c r="B199" s="22"/>
      <c r="C199" s="22"/>
      <c r="D199" s="30"/>
    </row>
    <row r="200">
      <c r="B200" s="22"/>
      <c r="C200" s="22"/>
      <c r="D200" s="30"/>
    </row>
    <row r="201">
      <c r="B201" s="22"/>
      <c r="C201" s="22"/>
      <c r="D201" s="30"/>
    </row>
    <row r="202">
      <c r="B202" s="22"/>
      <c r="C202" s="22"/>
      <c r="D202" s="30"/>
    </row>
    <row r="203">
      <c r="B203" s="22"/>
      <c r="C203" s="22"/>
      <c r="D203" s="30"/>
    </row>
    <row r="204">
      <c r="B204" s="22"/>
      <c r="C204" s="22"/>
      <c r="D204" s="30"/>
    </row>
    <row r="205">
      <c r="B205" s="22"/>
      <c r="C205" s="22"/>
      <c r="D205" s="30"/>
    </row>
    <row r="206">
      <c r="B206" s="22"/>
      <c r="C206" s="22"/>
      <c r="D206" s="30"/>
    </row>
    <row r="207">
      <c r="B207" s="22"/>
      <c r="C207" s="22"/>
      <c r="D207" s="30"/>
    </row>
    <row r="208">
      <c r="B208" s="22"/>
      <c r="C208" s="22"/>
      <c r="D208" s="30"/>
    </row>
    <row r="209">
      <c r="B209" s="22"/>
      <c r="C209" s="22"/>
      <c r="D209" s="30"/>
    </row>
    <row r="210">
      <c r="B210" s="22"/>
      <c r="C210" s="22"/>
      <c r="D210" s="30"/>
    </row>
    <row r="211">
      <c r="B211" s="22"/>
      <c r="C211" s="22"/>
      <c r="D211" s="30"/>
    </row>
    <row r="212">
      <c r="B212" s="22"/>
      <c r="C212" s="22"/>
      <c r="D212" s="30"/>
    </row>
    <row r="213">
      <c r="B213" s="22"/>
      <c r="C213" s="22"/>
      <c r="D213" s="30"/>
    </row>
    <row r="214">
      <c r="B214" s="22"/>
      <c r="C214" s="22"/>
      <c r="D214" s="30"/>
    </row>
    <row r="215">
      <c r="B215" s="22"/>
      <c r="C215" s="22"/>
      <c r="D215" s="30"/>
    </row>
    <row r="216">
      <c r="B216" s="22"/>
      <c r="C216" s="22"/>
      <c r="D216" s="30"/>
    </row>
    <row r="217">
      <c r="B217" s="22"/>
      <c r="C217" s="22"/>
      <c r="D217" s="30"/>
    </row>
    <row r="218">
      <c r="B218" s="22"/>
      <c r="C218" s="22"/>
      <c r="D218" s="30"/>
    </row>
    <row r="219">
      <c r="B219" s="22"/>
      <c r="C219" s="22"/>
      <c r="D219" s="30"/>
    </row>
    <row r="220">
      <c r="B220" s="22"/>
      <c r="C220" s="22"/>
      <c r="D220" s="30"/>
    </row>
    <row r="221">
      <c r="B221" s="22"/>
      <c r="C221" s="22"/>
      <c r="D221" s="30"/>
    </row>
    <row r="222">
      <c r="B222" s="22"/>
      <c r="C222" s="22"/>
      <c r="D222" s="30"/>
    </row>
    <row r="223">
      <c r="B223" s="22"/>
      <c r="C223" s="22"/>
      <c r="D223" s="30"/>
    </row>
    <row r="224">
      <c r="B224" s="22"/>
      <c r="C224" s="22"/>
      <c r="D224" s="30"/>
    </row>
    <row r="225">
      <c r="B225" s="22"/>
      <c r="C225" s="22"/>
      <c r="D225" s="30"/>
    </row>
    <row r="226">
      <c r="B226" s="22"/>
      <c r="C226" s="22"/>
      <c r="D226" s="30"/>
    </row>
    <row r="227">
      <c r="B227" s="22"/>
      <c r="C227" s="22"/>
      <c r="D227" s="30"/>
    </row>
    <row r="228">
      <c r="B228" s="22"/>
      <c r="C228" s="22"/>
      <c r="D228" s="30"/>
    </row>
    <row r="229">
      <c r="B229" s="22"/>
      <c r="C229" s="22"/>
      <c r="D229" s="30"/>
    </row>
    <row r="230">
      <c r="B230" s="22"/>
      <c r="C230" s="22"/>
      <c r="D230" s="30"/>
    </row>
    <row r="231">
      <c r="B231" s="22"/>
      <c r="C231" s="22"/>
      <c r="D231" s="30"/>
    </row>
    <row r="232">
      <c r="B232" s="22"/>
      <c r="C232" s="22"/>
      <c r="D232" s="30"/>
    </row>
    <row r="233">
      <c r="B233" s="22"/>
      <c r="C233" s="22"/>
      <c r="D233" s="30"/>
    </row>
    <row r="234">
      <c r="B234" s="22"/>
      <c r="C234" s="22"/>
      <c r="D234" s="30"/>
    </row>
    <row r="235">
      <c r="B235" s="22"/>
      <c r="C235" s="22"/>
      <c r="D235" s="30"/>
    </row>
    <row r="236">
      <c r="B236" s="22"/>
      <c r="C236" s="22"/>
      <c r="D236" s="30"/>
    </row>
    <row r="237">
      <c r="B237" s="22"/>
      <c r="C237" s="22"/>
      <c r="D237" s="30"/>
    </row>
    <row r="238">
      <c r="B238" s="22"/>
      <c r="C238" s="22"/>
      <c r="D238" s="30"/>
    </row>
    <row r="239">
      <c r="B239" s="22"/>
      <c r="C239" s="22"/>
      <c r="D239" s="30"/>
    </row>
    <row r="240">
      <c r="B240" s="22"/>
      <c r="C240" s="22"/>
      <c r="D240" s="30"/>
    </row>
    <row r="241">
      <c r="B241" s="22"/>
      <c r="C241" s="22"/>
      <c r="D241" s="30"/>
    </row>
    <row r="242">
      <c r="B242" s="22"/>
      <c r="C242" s="22"/>
      <c r="D242" s="30"/>
    </row>
    <row r="243">
      <c r="B243" s="22"/>
      <c r="C243" s="22"/>
      <c r="D243" s="30"/>
    </row>
    <row r="244">
      <c r="B244" s="22"/>
      <c r="C244" s="22"/>
      <c r="D244" s="30"/>
    </row>
    <row r="245">
      <c r="B245" s="22"/>
      <c r="C245" s="22"/>
      <c r="D245" s="30"/>
    </row>
    <row r="246">
      <c r="B246" s="22"/>
      <c r="C246" s="22"/>
      <c r="D246" s="30"/>
    </row>
    <row r="247">
      <c r="B247" s="22"/>
      <c r="C247" s="22"/>
      <c r="D247" s="30"/>
    </row>
    <row r="248">
      <c r="B248" s="22"/>
      <c r="C248" s="22"/>
      <c r="D248" s="30"/>
    </row>
    <row r="249">
      <c r="B249" s="22"/>
      <c r="C249" s="22"/>
      <c r="D249" s="30"/>
    </row>
    <row r="250">
      <c r="B250" s="22"/>
      <c r="C250" s="22"/>
      <c r="D250" s="30"/>
    </row>
    <row r="251">
      <c r="B251" s="22"/>
      <c r="C251" s="22"/>
      <c r="D251" s="30"/>
    </row>
    <row r="252">
      <c r="B252" s="22"/>
      <c r="C252" s="22"/>
      <c r="D252" s="30"/>
    </row>
    <row r="253">
      <c r="B253" s="22"/>
      <c r="C253" s="22"/>
      <c r="D253" s="30"/>
    </row>
    <row r="254">
      <c r="B254" s="22"/>
      <c r="C254" s="22"/>
      <c r="D254" s="30"/>
    </row>
    <row r="255">
      <c r="B255" s="22"/>
      <c r="C255" s="22"/>
      <c r="D255" s="30"/>
    </row>
    <row r="256">
      <c r="B256" s="22"/>
      <c r="C256" s="22"/>
      <c r="D256" s="30"/>
    </row>
    <row r="257">
      <c r="B257" s="22"/>
      <c r="C257" s="22"/>
      <c r="D257" s="30"/>
    </row>
    <row r="258">
      <c r="B258" s="22"/>
      <c r="C258" s="22"/>
      <c r="D258" s="30"/>
    </row>
    <row r="259">
      <c r="B259" s="22"/>
      <c r="C259" s="22"/>
      <c r="D259" s="30"/>
    </row>
    <row r="260">
      <c r="B260" s="22"/>
      <c r="C260" s="22"/>
      <c r="D260" s="30"/>
    </row>
    <row r="261">
      <c r="B261" s="22"/>
      <c r="C261" s="22"/>
      <c r="D261" s="30"/>
    </row>
    <row r="262">
      <c r="B262" s="22"/>
      <c r="C262" s="22"/>
      <c r="D262" s="30"/>
    </row>
    <row r="263">
      <c r="B263" s="22"/>
      <c r="C263" s="22"/>
      <c r="D263" s="30"/>
    </row>
    <row r="264">
      <c r="B264" s="22"/>
      <c r="C264" s="22"/>
      <c r="D264" s="30"/>
    </row>
    <row r="265">
      <c r="B265" s="22"/>
      <c r="C265" s="22"/>
      <c r="D265" s="30"/>
    </row>
    <row r="266">
      <c r="B266" s="22"/>
      <c r="C266" s="22"/>
      <c r="D266" s="30"/>
    </row>
    <row r="267">
      <c r="B267" s="22"/>
      <c r="C267" s="22"/>
      <c r="D267" s="30"/>
    </row>
    <row r="268">
      <c r="B268" s="22"/>
      <c r="C268" s="22"/>
      <c r="D268" s="30"/>
    </row>
    <row r="269">
      <c r="B269" s="22"/>
      <c r="C269" s="22"/>
      <c r="D269" s="30"/>
    </row>
    <row r="270">
      <c r="B270" s="22"/>
      <c r="C270" s="22"/>
      <c r="D270" s="30"/>
    </row>
    <row r="271">
      <c r="B271" s="22"/>
      <c r="C271" s="22"/>
      <c r="D271" s="30"/>
    </row>
    <row r="272">
      <c r="B272" s="22"/>
      <c r="C272" s="22"/>
      <c r="D272" s="30"/>
    </row>
    <row r="273">
      <c r="B273" s="22"/>
      <c r="C273" s="22"/>
      <c r="D273" s="30"/>
    </row>
    <row r="274">
      <c r="B274" s="22"/>
      <c r="C274" s="22"/>
      <c r="D274" s="30"/>
    </row>
    <row r="275">
      <c r="B275" s="22"/>
      <c r="C275" s="22"/>
      <c r="D275" s="30"/>
    </row>
    <row r="276">
      <c r="B276" s="22"/>
      <c r="C276" s="22"/>
      <c r="D276" s="30"/>
    </row>
    <row r="277">
      <c r="B277" s="22"/>
      <c r="C277" s="22"/>
      <c r="D277" s="30"/>
    </row>
    <row r="278">
      <c r="B278" s="22"/>
      <c r="C278" s="22"/>
      <c r="D278" s="30"/>
    </row>
    <row r="279">
      <c r="B279" s="22"/>
      <c r="C279" s="22"/>
      <c r="D279" s="30"/>
    </row>
    <row r="280">
      <c r="B280" s="22"/>
      <c r="C280" s="22"/>
      <c r="D280" s="30"/>
    </row>
    <row r="281">
      <c r="B281" s="22"/>
      <c r="C281" s="22"/>
      <c r="D281" s="30"/>
    </row>
    <row r="282">
      <c r="B282" s="22"/>
      <c r="C282" s="22"/>
      <c r="D282" s="30"/>
    </row>
    <row r="283">
      <c r="B283" s="22"/>
      <c r="C283" s="22"/>
      <c r="D283" s="30"/>
    </row>
    <row r="284">
      <c r="B284" s="22"/>
      <c r="C284" s="22"/>
      <c r="D284" s="30"/>
    </row>
    <row r="285">
      <c r="B285" s="22"/>
      <c r="C285" s="22"/>
      <c r="D285" s="30"/>
    </row>
    <row r="286">
      <c r="B286" s="22"/>
      <c r="C286" s="22"/>
      <c r="D286" s="30"/>
    </row>
    <row r="287">
      <c r="B287" s="22"/>
      <c r="C287" s="22"/>
      <c r="D287" s="30"/>
    </row>
    <row r="288">
      <c r="B288" s="22"/>
      <c r="C288" s="22"/>
      <c r="D288" s="30"/>
    </row>
    <row r="289">
      <c r="B289" s="22"/>
      <c r="C289" s="22"/>
      <c r="D289" s="30"/>
    </row>
    <row r="290">
      <c r="B290" s="22"/>
      <c r="C290" s="22"/>
      <c r="D290" s="30"/>
    </row>
    <row r="291">
      <c r="B291" s="22"/>
      <c r="C291" s="22"/>
      <c r="D291" s="30"/>
    </row>
    <row r="292">
      <c r="B292" s="22"/>
      <c r="C292" s="22"/>
      <c r="D292" s="30"/>
    </row>
    <row r="293">
      <c r="B293" s="22"/>
      <c r="C293" s="22"/>
      <c r="D293" s="30"/>
    </row>
    <row r="294">
      <c r="B294" s="22"/>
      <c r="C294" s="22"/>
      <c r="D294" s="30"/>
    </row>
    <row r="295">
      <c r="B295" s="22"/>
      <c r="C295" s="22"/>
      <c r="D295" s="30"/>
    </row>
    <row r="296">
      <c r="B296" s="22"/>
      <c r="C296" s="22"/>
      <c r="D296" s="30"/>
    </row>
    <row r="297">
      <c r="B297" s="22"/>
      <c r="C297" s="22"/>
      <c r="D297" s="30"/>
    </row>
    <row r="298">
      <c r="B298" s="22"/>
      <c r="C298" s="22"/>
      <c r="D298" s="30"/>
    </row>
    <row r="299">
      <c r="B299" s="22"/>
      <c r="C299" s="22"/>
      <c r="D299" s="30"/>
    </row>
    <row r="300">
      <c r="B300" s="22"/>
      <c r="C300" s="22"/>
      <c r="D300" s="30"/>
    </row>
    <row r="301">
      <c r="B301" s="22"/>
      <c r="C301" s="22"/>
      <c r="D301" s="30"/>
    </row>
    <row r="302">
      <c r="B302" s="22"/>
      <c r="C302" s="22"/>
      <c r="D302" s="30"/>
    </row>
    <row r="303">
      <c r="B303" s="22"/>
      <c r="C303" s="22"/>
      <c r="D303" s="30"/>
    </row>
    <row r="304">
      <c r="B304" s="22"/>
      <c r="C304" s="22"/>
      <c r="D304" s="30"/>
    </row>
    <row r="305">
      <c r="B305" s="22"/>
      <c r="C305" s="22"/>
      <c r="D305" s="30"/>
    </row>
    <row r="306">
      <c r="B306" s="22"/>
      <c r="C306" s="22"/>
      <c r="D306" s="30"/>
    </row>
    <row r="307">
      <c r="B307" s="22"/>
      <c r="C307" s="22"/>
      <c r="D307" s="30"/>
    </row>
    <row r="308">
      <c r="B308" s="22"/>
      <c r="C308" s="22"/>
      <c r="D308" s="30"/>
    </row>
    <row r="309">
      <c r="B309" s="22"/>
      <c r="C309" s="22"/>
      <c r="D309" s="30"/>
    </row>
    <row r="310">
      <c r="B310" s="22"/>
      <c r="C310" s="22"/>
      <c r="D310" s="30"/>
    </row>
    <row r="311">
      <c r="B311" s="22"/>
      <c r="C311" s="22"/>
      <c r="D311" s="30"/>
    </row>
    <row r="312">
      <c r="B312" s="22"/>
      <c r="C312" s="22"/>
      <c r="D312" s="30"/>
    </row>
    <row r="313">
      <c r="B313" s="22"/>
      <c r="C313" s="22"/>
      <c r="D313" s="30"/>
    </row>
    <row r="314">
      <c r="B314" s="22"/>
      <c r="C314" s="22"/>
      <c r="D314" s="30"/>
    </row>
    <row r="315">
      <c r="B315" s="22"/>
      <c r="C315" s="22"/>
      <c r="D315" s="30"/>
    </row>
    <row r="316">
      <c r="B316" s="22"/>
      <c r="C316" s="22"/>
      <c r="D316" s="30"/>
    </row>
    <row r="317">
      <c r="B317" s="22"/>
      <c r="C317" s="22"/>
      <c r="D317" s="30"/>
    </row>
    <row r="318">
      <c r="B318" s="22"/>
      <c r="C318" s="22"/>
      <c r="D318" s="30"/>
    </row>
    <row r="319">
      <c r="B319" s="22"/>
      <c r="C319" s="22"/>
      <c r="D319" s="30"/>
    </row>
    <row r="320">
      <c r="B320" s="22"/>
      <c r="C320" s="22"/>
      <c r="D320" s="30"/>
    </row>
    <row r="321">
      <c r="B321" s="22"/>
      <c r="C321" s="22"/>
      <c r="D321" s="30"/>
    </row>
    <row r="322">
      <c r="B322" s="22"/>
      <c r="C322" s="22"/>
      <c r="D322" s="30"/>
    </row>
    <row r="323">
      <c r="B323" s="22"/>
      <c r="C323" s="22"/>
      <c r="D323" s="30"/>
    </row>
    <row r="324">
      <c r="B324" s="22"/>
      <c r="C324" s="22"/>
      <c r="D324" s="30"/>
    </row>
    <row r="325">
      <c r="B325" s="22"/>
      <c r="C325" s="22"/>
      <c r="D325" s="30"/>
    </row>
    <row r="326">
      <c r="B326" s="22"/>
      <c r="C326" s="22"/>
      <c r="D326" s="30"/>
    </row>
    <row r="327">
      <c r="B327" s="22"/>
      <c r="C327" s="22"/>
      <c r="D327" s="30"/>
    </row>
    <row r="328">
      <c r="B328" s="22"/>
      <c r="C328" s="22"/>
      <c r="D328" s="30"/>
    </row>
    <row r="329">
      <c r="B329" s="22"/>
      <c r="C329" s="22"/>
      <c r="D329" s="30"/>
    </row>
    <row r="330">
      <c r="B330" s="22"/>
      <c r="C330" s="22"/>
      <c r="D330" s="30"/>
    </row>
    <row r="331">
      <c r="B331" s="22"/>
      <c r="C331" s="22"/>
      <c r="D331" s="30"/>
    </row>
    <row r="332">
      <c r="B332" s="22"/>
      <c r="C332" s="22"/>
      <c r="D332" s="30"/>
    </row>
    <row r="333">
      <c r="B333" s="22"/>
      <c r="C333" s="22"/>
      <c r="D333" s="30"/>
    </row>
    <row r="334">
      <c r="B334" s="22"/>
      <c r="C334" s="22"/>
      <c r="D334" s="30"/>
    </row>
    <row r="335">
      <c r="B335" s="22"/>
      <c r="C335" s="22"/>
      <c r="D335" s="30"/>
    </row>
    <row r="336">
      <c r="B336" s="22"/>
      <c r="C336" s="22"/>
      <c r="D336" s="30"/>
    </row>
    <row r="337">
      <c r="B337" s="22"/>
      <c r="C337" s="22"/>
      <c r="D337" s="30"/>
    </row>
    <row r="338">
      <c r="B338" s="22"/>
      <c r="C338" s="22"/>
      <c r="D338" s="30"/>
    </row>
    <row r="339">
      <c r="B339" s="22"/>
      <c r="C339" s="22"/>
      <c r="D339" s="30"/>
    </row>
    <row r="340">
      <c r="B340" s="22"/>
      <c r="C340" s="22"/>
      <c r="D340" s="30"/>
    </row>
    <row r="341">
      <c r="B341" s="22"/>
      <c r="C341" s="22"/>
      <c r="D341" s="30"/>
    </row>
    <row r="342">
      <c r="B342" s="22"/>
      <c r="C342" s="22"/>
      <c r="D342" s="30"/>
    </row>
    <row r="343">
      <c r="B343" s="22"/>
      <c r="C343" s="22"/>
      <c r="D343" s="30"/>
    </row>
    <row r="344">
      <c r="B344" s="22"/>
      <c r="C344" s="22"/>
      <c r="D344" s="30"/>
    </row>
    <row r="345">
      <c r="B345" s="22"/>
      <c r="C345" s="22"/>
      <c r="D345" s="30"/>
    </row>
    <row r="346">
      <c r="B346" s="22"/>
      <c r="C346" s="22"/>
      <c r="D346" s="30"/>
    </row>
    <row r="347">
      <c r="B347" s="22"/>
      <c r="C347" s="22"/>
      <c r="D347" s="30"/>
    </row>
    <row r="348">
      <c r="B348" s="22"/>
      <c r="C348" s="22"/>
      <c r="D348" s="30"/>
    </row>
    <row r="349">
      <c r="B349" s="22"/>
      <c r="C349" s="22"/>
      <c r="D349" s="30"/>
    </row>
    <row r="350">
      <c r="B350" s="22"/>
      <c r="C350" s="22"/>
      <c r="D350" s="30"/>
    </row>
    <row r="351">
      <c r="B351" s="22"/>
      <c r="C351" s="22"/>
      <c r="D351" s="30"/>
    </row>
    <row r="352">
      <c r="B352" s="22"/>
      <c r="C352" s="22"/>
      <c r="D352" s="30"/>
    </row>
    <row r="353">
      <c r="B353" s="22"/>
      <c r="C353" s="22"/>
      <c r="D353" s="30"/>
    </row>
    <row r="354">
      <c r="B354" s="22"/>
      <c r="C354" s="22"/>
      <c r="D354" s="30"/>
    </row>
    <row r="355">
      <c r="B355" s="22"/>
      <c r="C355" s="22"/>
      <c r="D355" s="30"/>
    </row>
    <row r="356">
      <c r="B356" s="22"/>
      <c r="C356" s="22"/>
      <c r="D356" s="30"/>
    </row>
    <row r="357">
      <c r="B357" s="22"/>
      <c r="C357" s="22"/>
      <c r="D357" s="30"/>
    </row>
    <row r="358">
      <c r="B358" s="22"/>
      <c r="C358" s="22"/>
      <c r="D358" s="30"/>
    </row>
    <row r="359">
      <c r="B359" s="22"/>
      <c r="C359" s="22"/>
      <c r="D359" s="30"/>
    </row>
    <row r="360">
      <c r="B360" s="22"/>
      <c r="C360" s="22"/>
      <c r="D360" s="30"/>
    </row>
    <row r="361">
      <c r="B361" s="22"/>
      <c r="C361" s="22"/>
      <c r="D361" s="30"/>
    </row>
    <row r="362">
      <c r="B362" s="22"/>
      <c r="C362" s="22"/>
      <c r="D362" s="30"/>
    </row>
    <row r="363">
      <c r="B363" s="22"/>
      <c r="C363" s="22"/>
      <c r="D363" s="30"/>
    </row>
    <row r="364">
      <c r="B364" s="22"/>
      <c r="C364" s="22"/>
      <c r="D364" s="30"/>
    </row>
    <row r="365">
      <c r="B365" s="22"/>
      <c r="C365" s="22"/>
      <c r="D365" s="30"/>
    </row>
    <row r="366">
      <c r="B366" s="22"/>
      <c r="C366" s="22"/>
      <c r="D366" s="30"/>
    </row>
    <row r="367">
      <c r="B367" s="22"/>
      <c r="C367" s="22"/>
      <c r="D367" s="30"/>
    </row>
    <row r="368">
      <c r="B368" s="22"/>
      <c r="C368" s="22"/>
      <c r="D368" s="30"/>
    </row>
    <row r="369">
      <c r="B369" s="22"/>
      <c r="C369" s="22"/>
      <c r="D369" s="30"/>
    </row>
    <row r="370">
      <c r="B370" s="22"/>
      <c r="C370" s="22"/>
      <c r="D370" s="30"/>
    </row>
    <row r="371">
      <c r="B371" s="22"/>
      <c r="C371" s="22"/>
      <c r="D371" s="30"/>
    </row>
    <row r="372">
      <c r="B372" s="22"/>
      <c r="C372" s="22"/>
      <c r="D372" s="30"/>
    </row>
    <row r="373">
      <c r="B373" s="22"/>
      <c r="C373" s="22"/>
      <c r="D373" s="30"/>
    </row>
    <row r="374">
      <c r="B374" s="22"/>
      <c r="C374" s="22"/>
      <c r="D374" s="30"/>
    </row>
    <row r="375">
      <c r="B375" s="22"/>
      <c r="C375" s="22"/>
      <c r="D375" s="30"/>
    </row>
    <row r="376">
      <c r="B376" s="22"/>
      <c r="C376" s="22"/>
      <c r="D376" s="30"/>
    </row>
    <row r="377">
      <c r="B377" s="22"/>
      <c r="C377" s="22"/>
      <c r="D377" s="30"/>
    </row>
    <row r="378">
      <c r="B378" s="22"/>
      <c r="C378" s="22"/>
      <c r="D378" s="30"/>
    </row>
    <row r="379">
      <c r="B379" s="22"/>
      <c r="C379" s="22"/>
      <c r="D379" s="30"/>
    </row>
    <row r="380">
      <c r="B380" s="22"/>
      <c r="C380" s="22"/>
      <c r="D380" s="30"/>
    </row>
    <row r="381">
      <c r="B381" s="22"/>
      <c r="C381" s="22"/>
      <c r="D381" s="30"/>
    </row>
    <row r="382">
      <c r="B382" s="22"/>
      <c r="C382" s="22"/>
      <c r="D382" s="30"/>
    </row>
    <row r="383">
      <c r="B383" s="22"/>
      <c r="C383" s="22"/>
      <c r="D383" s="30"/>
    </row>
    <row r="384">
      <c r="B384" s="22"/>
      <c r="C384" s="22"/>
      <c r="D384" s="30"/>
    </row>
    <row r="385">
      <c r="B385" s="22"/>
      <c r="C385" s="22"/>
      <c r="D385" s="30"/>
    </row>
    <row r="386">
      <c r="B386" s="22"/>
      <c r="C386" s="22"/>
      <c r="D386" s="30"/>
    </row>
    <row r="387">
      <c r="B387" s="22"/>
      <c r="C387" s="22"/>
      <c r="D387" s="30"/>
    </row>
    <row r="388">
      <c r="B388" s="22"/>
      <c r="C388" s="22"/>
      <c r="D388" s="30"/>
    </row>
    <row r="389">
      <c r="B389" s="22"/>
      <c r="C389" s="22"/>
      <c r="D389" s="30"/>
    </row>
    <row r="390">
      <c r="B390" s="22"/>
      <c r="C390" s="22"/>
      <c r="D390" s="30"/>
    </row>
    <row r="391">
      <c r="B391" s="22"/>
      <c r="C391" s="22"/>
      <c r="D391" s="30"/>
    </row>
    <row r="392">
      <c r="B392" s="22"/>
      <c r="C392" s="22"/>
      <c r="D392" s="30"/>
    </row>
    <row r="393">
      <c r="B393" s="22"/>
      <c r="C393" s="22"/>
      <c r="D393" s="30"/>
    </row>
    <row r="394">
      <c r="B394" s="22"/>
      <c r="C394" s="22"/>
      <c r="D394" s="30"/>
    </row>
    <row r="395">
      <c r="B395" s="22"/>
      <c r="C395" s="22"/>
      <c r="D395" s="30"/>
    </row>
    <row r="396">
      <c r="B396" s="22"/>
      <c r="C396" s="22"/>
      <c r="D396" s="30"/>
    </row>
    <row r="397">
      <c r="B397" s="22"/>
      <c r="C397" s="22"/>
      <c r="D397" s="30"/>
    </row>
    <row r="398">
      <c r="B398" s="22"/>
      <c r="C398" s="22"/>
      <c r="D398" s="30"/>
    </row>
    <row r="399">
      <c r="B399" s="22"/>
      <c r="C399" s="22"/>
      <c r="D399" s="30"/>
    </row>
    <row r="400">
      <c r="B400" s="22"/>
      <c r="C400" s="22"/>
      <c r="D400" s="30"/>
    </row>
    <row r="401">
      <c r="B401" s="22"/>
      <c r="C401" s="22"/>
      <c r="D401" s="30"/>
    </row>
    <row r="402">
      <c r="B402" s="22"/>
      <c r="C402" s="22"/>
      <c r="D402" s="30"/>
    </row>
    <row r="403">
      <c r="B403" s="22"/>
      <c r="C403" s="22"/>
      <c r="D403" s="30"/>
    </row>
    <row r="404">
      <c r="B404" s="22"/>
      <c r="C404" s="22"/>
      <c r="D404" s="30"/>
    </row>
    <row r="405">
      <c r="B405" s="22"/>
      <c r="C405" s="22"/>
      <c r="D405" s="30"/>
    </row>
    <row r="406">
      <c r="B406" s="22"/>
      <c r="C406" s="22"/>
      <c r="D406" s="30"/>
    </row>
    <row r="407">
      <c r="B407" s="22"/>
      <c r="C407" s="22"/>
      <c r="D407" s="30"/>
    </row>
    <row r="408">
      <c r="B408" s="22"/>
      <c r="C408" s="22"/>
      <c r="D408" s="30"/>
    </row>
    <row r="409">
      <c r="B409" s="22"/>
      <c r="C409" s="22"/>
      <c r="D409" s="30"/>
    </row>
    <row r="410">
      <c r="B410" s="22"/>
      <c r="C410" s="22"/>
      <c r="D410" s="30"/>
    </row>
    <row r="411">
      <c r="B411" s="22"/>
      <c r="C411" s="22"/>
      <c r="D411" s="30"/>
    </row>
    <row r="412">
      <c r="B412" s="22"/>
      <c r="C412" s="22"/>
      <c r="D412" s="30"/>
    </row>
    <row r="413">
      <c r="B413" s="22"/>
      <c r="C413" s="22"/>
      <c r="D413" s="30"/>
    </row>
    <row r="414">
      <c r="B414" s="22"/>
      <c r="C414" s="22"/>
      <c r="D414" s="30"/>
    </row>
    <row r="415">
      <c r="B415" s="22"/>
      <c r="C415" s="22"/>
      <c r="D415" s="30"/>
    </row>
    <row r="416">
      <c r="B416" s="22"/>
      <c r="C416" s="22"/>
      <c r="D416" s="30"/>
    </row>
    <row r="417">
      <c r="B417" s="22"/>
      <c r="C417" s="22"/>
      <c r="D417" s="30"/>
    </row>
    <row r="418">
      <c r="B418" s="22"/>
      <c r="C418" s="22"/>
      <c r="D418" s="30"/>
    </row>
    <row r="419">
      <c r="B419" s="22"/>
      <c r="C419" s="22"/>
      <c r="D419" s="30"/>
    </row>
    <row r="420">
      <c r="B420" s="22"/>
      <c r="C420" s="22"/>
      <c r="D420" s="30"/>
    </row>
    <row r="421">
      <c r="B421" s="22"/>
      <c r="C421" s="22"/>
      <c r="D421" s="30"/>
    </row>
    <row r="422">
      <c r="B422" s="22"/>
      <c r="C422" s="22"/>
      <c r="D422" s="30"/>
    </row>
    <row r="423">
      <c r="B423" s="22"/>
      <c r="C423" s="22"/>
      <c r="D423" s="30"/>
    </row>
    <row r="424">
      <c r="B424" s="22"/>
      <c r="C424" s="22"/>
      <c r="D424" s="30"/>
    </row>
    <row r="425">
      <c r="B425" s="22"/>
      <c r="C425" s="22"/>
      <c r="D425" s="30"/>
    </row>
    <row r="426">
      <c r="B426" s="22"/>
      <c r="C426" s="22"/>
      <c r="D426" s="30"/>
    </row>
    <row r="427">
      <c r="B427" s="22"/>
      <c r="C427" s="22"/>
      <c r="D427" s="30"/>
    </row>
    <row r="428">
      <c r="B428" s="22"/>
      <c r="C428" s="22"/>
      <c r="D428" s="30"/>
    </row>
    <row r="429">
      <c r="B429" s="22"/>
      <c r="C429" s="22"/>
      <c r="D429" s="30"/>
    </row>
    <row r="430">
      <c r="B430" s="22"/>
      <c r="C430" s="22"/>
      <c r="D430" s="30"/>
    </row>
    <row r="431">
      <c r="B431" s="22"/>
      <c r="C431" s="22"/>
      <c r="D431" s="30"/>
    </row>
    <row r="432">
      <c r="B432" s="22"/>
      <c r="C432" s="22"/>
      <c r="D432" s="30"/>
    </row>
    <row r="433">
      <c r="B433" s="22"/>
      <c r="C433" s="22"/>
      <c r="D433" s="30"/>
    </row>
    <row r="434">
      <c r="B434" s="22"/>
      <c r="C434" s="22"/>
      <c r="D434" s="30"/>
    </row>
    <row r="435">
      <c r="B435" s="22"/>
      <c r="C435" s="22"/>
      <c r="D435" s="30"/>
    </row>
    <row r="436">
      <c r="B436" s="22"/>
      <c r="C436" s="22"/>
      <c r="D436" s="30"/>
    </row>
    <row r="437">
      <c r="B437" s="22"/>
      <c r="C437" s="22"/>
      <c r="D437" s="30"/>
    </row>
    <row r="438">
      <c r="B438" s="22"/>
      <c r="C438" s="22"/>
      <c r="D438" s="30"/>
    </row>
    <row r="439">
      <c r="B439" s="22"/>
      <c r="C439" s="22"/>
      <c r="D439" s="30"/>
    </row>
    <row r="440">
      <c r="B440" s="22"/>
      <c r="C440" s="22"/>
      <c r="D440" s="30"/>
    </row>
    <row r="441">
      <c r="B441" s="22"/>
      <c r="C441" s="22"/>
      <c r="D441" s="30"/>
    </row>
    <row r="442">
      <c r="B442" s="22"/>
      <c r="C442" s="22"/>
      <c r="D442" s="30"/>
    </row>
    <row r="443">
      <c r="B443" s="22"/>
      <c r="C443" s="22"/>
      <c r="D443" s="30"/>
    </row>
    <row r="444">
      <c r="B444" s="22"/>
      <c r="C444" s="22"/>
      <c r="D444" s="30"/>
    </row>
    <row r="445">
      <c r="B445" s="22"/>
      <c r="C445" s="22"/>
      <c r="D445" s="30"/>
    </row>
    <row r="446">
      <c r="B446" s="22"/>
      <c r="C446" s="22"/>
      <c r="D446" s="30"/>
    </row>
    <row r="447">
      <c r="B447" s="22"/>
      <c r="C447" s="22"/>
      <c r="D447" s="30"/>
    </row>
    <row r="448">
      <c r="B448" s="22"/>
      <c r="C448" s="22"/>
      <c r="D448" s="30"/>
    </row>
    <row r="449">
      <c r="B449" s="22"/>
      <c r="C449" s="22"/>
      <c r="D449" s="30"/>
    </row>
    <row r="450">
      <c r="B450" s="22"/>
      <c r="C450" s="22"/>
      <c r="D450" s="30"/>
    </row>
    <row r="451">
      <c r="B451" s="22"/>
      <c r="C451" s="22"/>
      <c r="D451" s="30"/>
    </row>
    <row r="452">
      <c r="B452" s="22"/>
      <c r="C452" s="22"/>
      <c r="D452" s="30"/>
    </row>
    <row r="453">
      <c r="B453" s="22"/>
      <c r="C453" s="22"/>
      <c r="D453" s="30"/>
    </row>
    <row r="454">
      <c r="B454" s="22"/>
      <c r="C454" s="22"/>
      <c r="D454" s="30"/>
    </row>
    <row r="455">
      <c r="B455" s="22"/>
      <c r="C455" s="22"/>
      <c r="D455" s="30"/>
    </row>
    <row r="456">
      <c r="B456" s="22"/>
      <c r="C456" s="22"/>
      <c r="D456" s="30"/>
    </row>
    <row r="457">
      <c r="B457" s="22"/>
      <c r="C457" s="22"/>
      <c r="D457" s="30"/>
    </row>
    <row r="458">
      <c r="B458" s="22"/>
      <c r="C458" s="22"/>
      <c r="D458" s="30"/>
    </row>
    <row r="459">
      <c r="B459" s="22"/>
      <c r="C459" s="22"/>
      <c r="D459" s="30"/>
    </row>
    <row r="460">
      <c r="B460" s="22"/>
      <c r="C460" s="22"/>
      <c r="D460" s="30"/>
    </row>
    <row r="461">
      <c r="B461" s="22"/>
      <c r="C461" s="22"/>
      <c r="D461" s="30"/>
    </row>
    <row r="462">
      <c r="B462" s="22"/>
      <c r="C462" s="22"/>
      <c r="D462" s="30"/>
    </row>
    <row r="463">
      <c r="B463" s="22"/>
      <c r="C463" s="22"/>
      <c r="D463" s="30"/>
    </row>
    <row r="464">
      <c r="B464" s="22"/>
      <c r="C464" s="22"/>
      <c r="D464" s="30"/>
    </row>
    <row r="465">
      <c r="B465" s="22"/>
      <c r="C465" s="22"/>
      <c r="D465" s="30"/>
    </row>
    <row r="466">
      <c r="B466" s="22"/>
      <c r="C466" s="22"/>
      <c r="D466" s="30"/>
    </row>
    <row r="467">
      <c r="B467" s="22"/>
      <c r="C467" s="22"/>
      <c r="D467" s="30"/>
    </row>
    <row r="468">
      <c r="B468" s="22"/>
      <c r="C468" s="22"/>
      <c r="D468" s="30"/>
    </row>
    <row r="469">
      <c r="B469" s="22"/>
      <c r="C469" s="22"/>
      <c r="D469" s="30"/>
    </row>
    <row r="470">
      <c r="B470" s="22"/>
      <c r="C470" s="22"/>
      <c r="D470" s="30"/>
    </row>
    <row r="471">
      <c r="B471" s="22"/>
      <c r="C471" s="22"/>
      <c r="D471" s="30"/>
    </row>
    <row r="472">
      <c r="B472" s="22"/>
      <c r="C472" s="22"/>
      <c r="D472" s="30"/>
    </row>
    <row r="473">
      <c r="B473" s="22"/>
      <c r="C473" s="22"/>
      <c r="D473" s="30"/>
    </row>
    <row r="474">
      <c r="B474" s="22"/>
      <c r="C474" s="22"/>
      <c r="D474" s="30"/>
    </row>
    <row r="475">
      <c r="B475" s="22"/>
      <c r="C475" s="22"/>
      <c r="D475" s="30"/>
    </row>
    <row r="476">
      <c r="B476" s="22"/>
      <c r="C476" s="22"/>
      <c r="D476" s="30"/>
    </row>
    <row r="477">
      <c r="B477" s="22"/>
      <c r="C477" s="22"/>
      <c r="D477" s="30"/>
    </row>
    <row r="478">
      <c r="B478" s="22"/>
      <c r="C478" s="22"/>
      <c r="D478" s="30"/>
    </row>
    <row r="479">
      <c r="B479" s="22"/>
      <c r="C479" s="22"/>
      <c r="D479" s="30"/>
    </row>
    <row r="480">
      <c r="B480" s="22"/>
      <c r="C480" s="22"/>
      <c r="D480" s="30"/>
    </row>
    <row r="481">
      <c r="B481" s="22"/>
      <c r="C481" s="22"/>
      <c r="D481" s="30"/>
    </row>
    <row r="482">
      <c r="B482" s="22"/>
      <c r="C482" s="22"/>
      <c r="D482" s="30"/>
    </row>
    <row r="483">
      <c r="B483" s="22"/>
      <c r="C483" s="22"/>
      <c r="D483" s="30"/>
    </row>
    <row r="484">
      <c r="B484" s="22"/>
      <c r="C484" s="22"/>
      <c r="D484" s="30"/>
    </row>
    <row r="485">
      <c r="B485" s="22"/>
      <c r="C485" s="22"/>
      <c r="D485" s="30"/>
    </row>
    <row r="486">
      <c r="B486" s="22"/>
      <c r="C486" s="22"/>
      <c r="D486" s="30"/>
    </row>
    <row r="487">
      <c r="B487" s="22"/>
      <c r="C487" s="22"/>
      <c r="D487" s="30"/>
    </row>
    <row r="488">
      <c r="B488" s="22"/>
      <c r="C488" s="22"/>
      <c r="D488" s="30"/>
    </row>
    <row r="489">
      <c r="B489" s="22"/>
      <c r="C489" s="22"/>
      <c r="D489" s="30"/>
    </row>
    <row r="490">
      <c r="B490" s="22"/>
      <c r="C490" s="22"/>
      <c r="D490" s="30"/>
    </row>
    <row r="491">
      <c r="B491" s="22"/>
      <c r="C491" s="22"/>
      <c r="D491" s="30"/>
    </row>
    <row r="492">
      <c r="B492" s="22"/>
      <c r="C492" s="22"/>
      <c r="D492" s="30"/>
    </row>
    <row r="493">
      <c r="B493" s="22"/>
      <c r="C493" s="22"/>
      <c r="D493" s="30"/>
    </row>
    <row r="494">
      <c r="B494" s="22"/>
      <c r="C494" s="22"/>
      <c r="D494" s="30"/>
    </row>
    <row r="495">
      <c r="B495" s="22"/>
      <c r="C495" s="22"/>
      <c r="D495" s="30"/>
    </row>
    <row r="496">
      <c r="B496" s="22"/>
      <c r="C496" s="22"/>
      <c r="D496" s="30"/>
    </row>
    <row r="497">
      <c r="B497" s="22"/>
      <c r="C497" s="22"/>
      <c r="D497" s="30"/>
    </row>
    <row r="498">
      <c r="B498" s="22"/>
      <c r="C498" s="22"/>
      <c r="D498" s="30"/>
    </row>
    <row r="499">
      <c r="B499" s="22"/>
      <c r="C499" s="22"/>
      <c r="D499" s="30"/>
    </row>
    <row r="500">
      <c r="B500" s="22"/>
      <c r="C500" s="22"/>
      <c r="D500" s="30"/>
    </row>
    <row r="501">
      <c r="B501" s="22"/>
      <c r="C501" s="22"/>
      <c r="D501" s="30"/>
    </row>
    <row r="502">
      <c r="B502" s="22"/>
      <c r="C502" s="22"/>
      <c r="D502" s="30"/>
    </row>
    <row r="503">
      <c r="B503" s="22"/>
      <c r="C503" s="22"/>
      <c r="D503" s="30"/>
    </row>
    <row r="504">
      <c r="B504" s="22"/>
      <c r="C504" s="22"/>
      <c r="D504" s="30"/>
    </row>
    <row r="505">
      <c r="B505" s="22"/>
      <c r="C505" s="22"/>
      <c r="D505" s="30"/>
    </row>
    <row r="506">
      <c r="B506" s="22"/>
      <c r="C506" s="22"/>
      <c r="D506" s="30"/>
    </row>
    <row r="507">
      <c r="B507" s="22"/>
      <c r="C507" s="22"/>
      <c r="D507" s="30"/>
    </row>
    <row r="508">
      <c r="B508" s="22"/>
      <c r="C508" s="22"/>
      <c r="D508" s="30"/>
    </row>
    <row r="509">
      <c r="B509" s="22"/>
      <c r="C509" s="22"/>
      <c r="D509" s="30"/>
    </row>
    <row r="510">
      <c r="B510" s="22"/>
      <c r="C510" s="22"/>
      <c r="D510" s="30"/>
    </row>
    <row r="511">
      <c r="B511" s="22"/>
      <c r="C511" s="22"/>
      <c r="D511" s="30"/>
    </row>
    <row r="512">
      <c r="B512" s="22"/>
      <c r="C512" s="22"/>
      <c r="D512" s="30"/>
    </row>
    <row r="513">
      <c r="B513" s="22"/>
      <c r="C513" s="22"/>
      <c r="D513" s="30"/>
    </row>
    <row r="514">
      <c r="B514" s="22"/>
      <c r="C514" s="22"/>
      <c r="D514" s="30"/>
    </row>
    <row r="515">
      <c r="B515" s="22"/>
      <c r="C515" s="22"/>
      <c r="D515" s="30"/>
    </row>
    <row r="516">
      <c r="B516" s="22"/>
      <c r="C516" s="22"/>
      <c r="D516" s="30"/>
    </row>
    <row r="517">
      <c r="B517" s="22"/>
      <c r="C517" s="22"/>
      <c r="D517" s="30"/>
    </row>
    <row r="518">
      <c r="B518" s="22"/>
      <c r="C518" s="22"/>
      <c r="D518" s="30"/>
    </row>
    <row r="519">
      <c r="B519" s="22"/>
      <c r="C519" s="22"/>
      <c r="D519" s="30"/>
    </row>
    <row r="520">
      <c r="B520" s="22"/>
      <c r="C520" s="22"/>
      <c r="D520" s="30"/>
    </row>
    <row r="521">
      <c r="B521" s="22"/>
      <c r="C521" s="22"/>
      <c r="D521" s="30"/>
    </row>
    <row r="522">
      <c r="B522" s="22"/>
      <c r="C522" s="22"/>
      <c r="D522" s="30"/>
    </row>
    <row r="523">
      <c r="B523" s="22"/>
      <c r="C523" s="22"/>
      <c r="D523" s="30"/>
    </row>
    <row r="524">
      <c r="B524" s="22"/>
      <c r="C524" s="22"/>
      <c r="D524" s="30"/>
    </row>
    <row r="525">
      <c r="B525" s="22"/>
      <c r="C525" s="22"/>
      <c r="D525" s="30"/>
    </row>
    <row r="526">
      <c r="B526" s="22"/>
      <c r="C526" s="22"/>
      <c r="D526" s="30"/>
    </row>
    <row r="527">
      <c r="B527" s="22"/>
      <c r="C527" s="22"/>
      <c r="D527" s="30"/>
    </row>
    <row r="528">
      <c r="B528" s="22"/>
      <c r="C528" s="22"/>
      <c r="D528" s="30"/>
    </row>
    <row r="529">
      <c r="B529" s="22"/>
      <c r="C529" s="22"/>
      <c r="D529" s="30"/>
    </row>
    <row r="530">
      <c r="B530" s="22"/>
      <c r="C530" s="22"/>
      <c r="D530" s="30"/>
    </row>
    <row r="531">
      <c r="B531" s="22"/>
      <c r="C531" s="22"/>
      <c r="D531" s="30"/>
    </row>
    <row r="532">
      <c r="B532" s="22"/>
      <c r="C532" s="22"/>
      <c r="D532" s="30"/>
    </row>
    <row r="533">
      <c r="B533" s="22"/>
      <c r="C533" s="22"/>
      <c r="D533" s="30"/>
    </row>
    <row r="534">
      <c r="B534" s="22"/>
      <c r="C534" s="22"/>
      <c r="D534" s="30"/>
    </row>
    <row r="535">
      <c r="B535" s="22"/>
      <c r="C535" s="22"/>
      <c r="D535" s="30"/>
    </row>
    <row r="536">
      <c r="B536" s="22"/>
      <c r="C536" s="22"/>
      <c r="D536" s="30"/>
    </row>
    <row r="537">
      <c r="B537" s="22"/>
      <c r="C537" s="22"/>
      <c r="D537" s="30"/>
    </row>
    <row r="538">
      <c r="B538" s="22"/>
      <c r="C538" s="22"/>
      <c r="D538" s="30"/>
    </row>
    <row r="539">
      <c r="B539" s="22"/>
      <c r="C539" s="22"/>
      <c r="D539" s="30"/>
    </row>
    <row r="540">
      <c r="B540" s="22"/>
      <c r="C540" s="22"/>
      <c r="D540" s="30"/>
    </row>
    <row r="541">
      <c r="B541" s="22"/>
      <c r="C541" s="22"/>
      <c r="D541" s="30"/>
    </row>
    <row r="542">
      <c r="B542" s="22"/>
      <c r="C542" s="22"/>
      <c r="D542" s="30"/>
    </row>
    <row r="543">
      <c r="B543" s="22"/>
      <c r="C543" s="22"/>
      <c r="D543" s="30"/>
    </row>
    <row r="544">
      <c r="B544" s="22"/>
      <c r="C544" s="22"/>
      <c r="D544" s="30"/>
    </row>
    <row r="545">
      <c r="B545" s="22"/>
      <c r="C545" s="22"/>
      <c r="D545" s="30"/>
    </row>
    <row r="546">
      <c r="B546" s="22"/>
      <c r="C546" s="22"/>
      <c r="D546" s="30"/>
    </row>
    <row r="547">
      <c r="B547" s="22"/>
      <c r="C547" s="22"/>
      <c r="D547" s="30"/>
    </row>
    <row r="548">
      <c r="B548" s="22"/>
      <c r="C548" s="22"/>
      <c r="D548" s="30"/>
    </row>
    <row r="549">
      <c r="B549" s="22"/>
      <c r="C549" s="22"/>
      <c r="D549" s="30"/>
    </row>
    <row r="550">
      <c r="B550" s="22"/>
      <c r="C550" s="22"/>
      <c r="D550" s="30"/>
    </row>
    <row r="551">
      <c r="B551" s="22"/>
      <c r="C551" s="22"/>
      <c r="D551" s="30"/>
    </row>
    <row r="552">
      <c r="B552" s="22"/>
      <c r="C552" s="22"/>
      <c r="D552" s="30"/>
    </row>
    <row r="553">
      <c r="B553" s="22"/>
      <c r="C553" s="22"/>
      <c r="D553" s="30"/>
    </row>
    <row r="554">
      <c r="B554" s="22"/>
      <c r="C554" s="22"/>
      <c r="D554" s="30"/>
    </row>
    <row r="555">
      <c r="B555" s="22"/>
      <c r="C555" s="22"/>
      <c r="D555" s="30"/>
    </row>
    <row r="556">
      <c r="B556" s="22"/>
      <c r="C556" s="22"/>
      <c r="D556" s="30"/>
    </row>
    <row r="557">
      <c r="B557" s="22"/>
      <c r="C557" s="22"/>
      <c r="D557" s="30"/>
    </row>
    <row r="558">
      <c r="B558" s="22"/>
      <c r="C558" s="22"/>
      <c r="D558" s="30"/>
    </row>
    <row r="559">
      <c r="B559" s="22"/>
      <c r="C559" s="22"/>
      <c r="D559" s="30"/>
    </row>
    <row r="560">
      <c r="B560" s="22"/>
      <c r="C560" s="22"/>
      <c r="D560" s="30"/>
    </row>
    <row r="561">
      <c r="B561" s="22"/>
      <c r="C561" s="22"/>
      <c r="D561" s="30"/>
    </row>
    <row r="562">
      <c r="B562" s="22"/>
      <c r="C562" s="22"/>
      <c r="D562" s="30"/>
    </row>
    <row r="563">
      <c r="B563" s="22"/>
      <c r="C563" s="22"/>
      <c r="D563" s="30"/>
    </row>
    <row r="564">
      <c r="B564" s="22"/>
      <c r="C564" s="22"/>
      <c r="D564" s="30"/>
    </row>
    <row r="565">
      <c r="B565" s="22"/>
      <c r="C565" s="22"/>
      <c r="D565" s="30"/>
    </row>
    <row r="566">
      <c r="B566" s="22"/>
      <c r="C566" s="22"/>
      <c r="D566" s="30"/>
    </row>
    <row r="567">
      <c r="B567" s="22"/>
      <c r="C567" s="22"/>
      <c r="D567" s="30"/>
    </row>
    <row r="568">
      <c r="B568" s="22"/>
      <c r="C568" s="22"/>
      <c r="D568" s="30"/>
    </row>
    <row r="569">
      <c r="B569" s="22"/>
      <c r="C569" s="22"/>
      <c r="D569" s="30"/>
    </row>
    <row r="570">
      <c r="B570" s="22"/>
      <c r="C570" s="22"/>
      <c r="D570" s="30"/>
    </row>
    <row r="571">
      <c r="B571" s="22"/>
      <c r="C571" s="22"/>
      <c r="D571" s="30"/>
    </row>
    <row r="572">
      <c r="B572" s="22"/>
      <c r="C572" s="22"/>
      <c r="D572" s="30"/>
    </row>
    <row r="573">
      <c r="B573" s="22"/>
      <c r="C573" s="22"/>
      <c r="D573" s="30"/>
    </row>
    <row r="574">
      <c r="B574" s="22"/>
      <c r="C574" s="22"/>
      <c r="D574" s="30"/>
    </row>
    <row r="575">
      <c r="B575" s="22"/>
      <c r="C575" s="22"/>
      <c r="D575" s="30"/>
    </row>
    <row r="576">
      <c r="B576" s="22"/>
      <c r="C576" s="22"/>
      <c r="D576" s="30"/>
    </row>
    <row r="577">
      <c r="B577" s="22"/>
      <c r="C577" s="22"/>
      <c r="D577" s="30"/>
    </row>
    <row r="578">
      <c r="B578" s="22"/>
      <c r="C578" s="22"/>
      <c r="D578" s="30"/>
    </row>
    <row r="579">
      <c r="B579" s="22"/>
      <c r="C579" s="22"/>
      <c r="D579" s="30"/>
    </row>
    <row r="580">
      <c r="B580" s="22"/>
      <c r="C580" s="22"/>
      <c r="D580" s="30"/>
    </row>
    <row r="581">
      <c r="B581" s="22"/>
      <c r="C581" s="22"/>
      <c r="D581" s="30"/>
    </row>
    <row r="582">
      <c r="B582" s="22"/>
      <c r="C582" s="22"/>
      <c r="D582" s="30"/>
    </row>
    <row r="583">
      <c r="B583" s="22"/>
      <c r="C583" s="22"/>
      <c r="D583" s="30"/>
    </row>
    <row r="584">
      <c r="B584" s="22"/>
      <c r="C584" s="22"/>
      <c r="D584" s="30"/>
    </row>
    <row r="585">
      <c r="B585" s="22"/>
      <c r="C585" s="22"/>
      <c r="D585" s="30"/>
    </row>
    <row r="586">
      <c r="B586" s="22"/>
      <c r="C586" s="22"/>
      <c r="D586" s="30"/>
    </row>
    <row r="587">
      <c r="B587" s="22"/>
      <c r="C587" s="22"/>
      <c r="D587" s="30"/>
    </row>
    <row r="588">
      <c r="B588" s="22"/>
      <c r="C588" s="22"/>
      <c r="D588" s="30"/>
    </row>
    <row r="589">
      <c r="B589" s="22"/>
      <c r="C589" s="22"/>
      <c r="D589" s="30"/>
    </row>
    <row r="590">
      <c r="B590" s="22"/>
      <c r="C590" s="22"/>
      <c r="D590" s="30"/>
    </row>
    <row r="591">
      <c r="B591" s="22"/>
      <c r="C591" s="22"/>
      <c r="D591" s="30"/>
    </row>
    <row r="592">
      <c r="B592" s="22"/>
      <c r="C592" s="22"/>
      <c r="D592" s="30"/>
    </row>
    <row r="593">
      <c r="B593" s="22"/>
      <c r="C593" s="22"/>
      <c r="D593" s="30"/>
    </row>
    <row r="594">
      <c r="B594" s="22"/>
      <c r="C594" s="22"/>
      <c r="D594" s="30"/>
    </row>
    <row r="595">
      <c r="B595" s="22"/>
      <c r="C595" s="22"/>
      <c r="D595" s="30"/>
    </row>
    <row r="596">
      <c r="B596" s="22"/>
      <c r="C596" s="22"/>
      <c r="D596" s="30"/>
    </row>
    <row r="597">
      <c r="B597" s="22"/>
      <c r="C597" s="22"/>
      <c r="D597" s="30"/>
    </row>
    <row r="598">
      <c r="B598" s="22"/>
      <c r="C598" s="22"/>
      <c r="D598" s="30"/>
    </row>
    <row r="599">
      <c r="B599" s="22"/>
      <c r="C599" s="22"/>
      <c r="D599" s="30"/>
    </row>
    <row r="600">
      <c r="B600" s="22"/>
      <c r="C600" s="22"/>
      <c r="D600" s="30"/>
    </row>
    <row r="601">
      <c r="B601" s="22"/>
      <c r="C601" s="22"/>
      <c r="D601" s="30"/>
    </row>
    <row r="602">
      <c r="B602" s="22"/>
      <c r="C602" s="22"/>
      <c r="D602" s="30"/>
    </row>
    <row r="603">
      <c r="B603" s="22"/>
      <c r="C603" s="22"/>
      <c r="D603" s="30"/>
    </row>
    <row r="604">
      <c r="B604" s="22"/>
      <c r="C604" s="22"/>
      <c r="D604" s="30"/>
    </row>
    <row r="605">
      <c r="B605" s="22"/>
      <c r="C605" s="22"/>
      <c r="D605" s="30"/>
    </row>
    <row r="606">
      <c r="B606" s="22"/>
      <c r="C606" s="22"/>
      <c r="D606" s="30"/>
    </row>
    <row r="607">
      <c r="B607" s="22"/>
      <c r="C607" s="22"/>
      <c r="D607" s="30"/>
    </row>
    <row r="608">
      <c r="B608" s="22"/>
      <c r="C608" s="22"/>
      <c r="D608" s="30"/>
    </row>
    <row r="609">
      <c r="B609" s="22"/>
      <c r="C609" s="22"/>
      <c r="D609" s="30"/>
    </row>
    <row r="610">
      <c r="B610" s="22"/>
      <c r="C610" s="22"/>
      <c r="D610" s="30"/>
    </row>
    <row r="611">
      <c r="B611" s="22"/>
      <c r="C611" s="22"/>
      <c r="D611" s="30"/>
    </row>
    <row r="612">
      <c r="B612" s="22"/>
      <c r="C612" s="22"/>
      <c r="D612" s="30"/>
    </row>
    <row r="613">
      <c r="B613" s="22"/>
      <c r="C613" s="22"/>
      <c r="D613" s="30"/>
    </row>
    <row r="614">
      <c r="B614" s="22"/>
      <c r="C614" s="22"/>
      <c r="D614" s="30"/>
    </row>
    <row r="615">
      <c r="B615" s="22"/>
      <c r="C615" s="22"/>
      <c r="D615" s="30"/>
    </row>
    <row r="616">
      <c r="B616" s="22"/>
      <c r="C616" s="22"/>
      <c r="D616" s="30"/>
    </row>
    <row r="617">
      <c r="B617" s="22"/>
      <c r="C617" s="22"/>
      <c r="D617" s="30"/>
    </row>
    <row r="618">
      <c r="B618" s="22"/>
      <c r="C618" s="22"/>
      <c r="D618" s="30"/>
    </row>
    <row r="619">
      <c r="B619" s="22"/>
      <c r="C619" s="22"/>
      <c r="D619" s="30"/>
    </row>
    <row r="620">
      <c r="B620" s="22"/>
      <c r="C620" s="22"/>
      <c r="D620" s="30"/>
    </row>
    <row r="621">
      <c r="B621" s="22"/>
      <c r="C621" s="22"/>
      <c r="D621" s="30"/>
    </row>
    <row r="622">
      <c r="B622" s="22"/>
      <c r="C622" s="22"/>
      <c r="D622" s="30"/>
    </row>
    <row r="623">
      <c r="B623" s="22"/>
      <c r="C623" s="22"/>
      <c r="D623" s="30"/>
    </row>
    <row r="624">
      <c r="B624" s="22"/>
      <c r="C624" s="22"/>
      <c r="D624" s="30"/>
    </row>
    <row r="625">
      <c r="B625" s="22"/>
      <c r="C625" s="22"/>
      <c r="D625" s="30"/>
    </row>
    <row r="626">
      <c r="B626" s="22"/>
      <c r="C626" s="22"/>
      <c r="D626" s="30"/>
    </row>
    <row r="627">
      <c r="B627" s="22"/>
      <c r="C627" s="22"/>
      <c r="D627" s="30"/>
    </row>
    <row r="628">
      <c r="B628" s="22"/>
      <c r="C628" s="22"/>
      <c r="D628" s="30"/>
    </row>
    <row r="629">
      <c r="B629" s="22"/>
      <c r="C629" s="22"/>
      <c r="D629" s="30"/>
    </row>
    <row r="630">
      <c r="B630" s="22"/>
      <c r="C630" s="22"/>
      <c r="D630" s="30"/>
    </row>
    <row r="631">
      <c r="B631" s="22"/>
      <c r="C631" s="22"/>
      <c r="D631" s="30"/>
    </row>
    <row r="632">
      <c r="B632" s="22"/>
      <c r="C632" s="22"/>
      <c r="D632" s="30"/>
    </row>
    <row r="633">
      <c r="B633" s="22"/>
      <c r="C633" s="22"/>
      <c r="D633" s="30"/>
    </row>
    <row r="634">
      <c r="B634" s="22"/>
      <c r="C634" s="22"/>
      <c r="D634" s="30"/>
    </row>
    <row r="635">
      <c r="B635" s="22"/>
      <c r="C635" s="22"/>
      <c r="D635" s="30"/>
    </row>
    <row r="636">
      <c r="B636" s="22"/>
      <c r="C636" s="22"/>
      <c r="D636" s="30"/>
    </row>
    <row r="637">
      <c r="B637" s="22"/>
      <c r="C637" s="22"/>
      <c r="D637" s="30"/>
    </row>
    <row r="638">
      <c r="B638" s="22"/>
      <c r="C638" s="22"/>
      <c r="D638" s="30"/>
    </row>
    <row r="639">
      <c r="B639" s="22"/>
      <c r="C639" s="22"/>
      <c r="D639" s="30"/>
    </row>
    <row r="640">
      <c r="B640" s="22"/>
      <c r="C640" s="22"/>
      <c r="D640" s="30"/>
    </row>
    <row r="641">
      <c r="B641" s="22"/>
      <c r="C641" s="22"/>
      <c r="D641" s="30"/>
    </row>
    <row r="642">
      <c r="B642" s="22"/>
      <c r="C642" s="22"/>
      <c r="D642" s="30"/>
    </row>
    <row r="643">
      <c r="B643" s="22"/>
      <c r="C643" s="22"/>
      <c r="D643" s="30"/>
    </row>
    <row r="644">
      <c r="B644" s="22"/>
      <c r="C644" s="22"/>
      <c r="D644" s="30"/>
    </row>
    <row r="645">
      <c r="B645" s="22"/>
      <c r="C645" s="22"/>
      <c r="D645" s="30"/>
    </row>
    <row r="646">
      <c r="B646" s="22"/>
      <c r="C646" s="22"/>
      <c r="D646" s="30"/>
    </row>
    <row r="647">
      <c r="B647" s="22"/>
      <c r="C647" s="22"/>
      <c r="D647" s="30"/>
    </row>
    <row r="648">
      <c r="B648" s="22"/>
      <c r="C648" s="22"/>
      <c r="D648" s="30"/>
    </row>
    <row r="649">
      <c r="B649" s="22"/>
      <c r="C649" s="22"/>
      <c r="D649" s="30"/>
    </row>
    <row r="650">
      <c r="B650" s="22"/>
      <c r="C650" s="22"/>
      <c r="D650" s="30"/>
    </row>
    <row r="651">
      <c r="B651" s="22"/>
      <c r="C651" s="22"/>
      <c r="D651" s="30"/>
    </row>
    <row r="652">
      <c r="B652" s="22"/>
      <c r="C652" s="22"/>
      <c r="D652" s="30"/>
    </row>
    <row r="653">
      <c r="B653" s="22"/>
      <c r="C653" s="22"/>
      <c r="D653" s="30"/>
    </row>
    <row r="654">
      <c r="B654" s="22"/>
      <c r="C654" s="22"/>
      <c r="D654" s="30"/>
    </row>
    <row r="655">
      <c r="B655" s="22"/>
      <c r="C655" s="22"/>
      <c r="D655" s="30"/>
    </row>
    <row r="656">
      <c r="B656" s="22"/>
      <c r="C656" s="22"/>
      <c r="D656" s="30"/>
    </row>
    <row r="657">
      <c r="B657" s="22"/>
      <c r="C657" s="22"/>
      <c r="D657" s="30"/>
    </row>
    <row r="658">
      <c r="B658" s="22"/>
      <c r="C658" s="22"/>
      <c r="D658" s="30"/>
    </row>
    <row r="659">
      <c r="B659" s="22"/>
      <c r="C659" s="22"/>
      <c r="D659" s="30"/>
    </row>
    <row r="660">
      <c r="B660" s="22"/>
      <c r="C660" s="22"/>
      <c r="D660" s="30"/>
    </row>
    <row r="661">
      <c r="B661" s="22"/>
      <c r="C661" s="22"/>
      <c r="D661" s="30"/>
    </row>
    <row r="662">
      <c r="B662" s="22"/>
      <c r="C662" s="22"/>
      <c r="D662" s="30"/>
    </row>
    <row r="663">
      <c r="B663" s="22"/>
      <c r="C663" s="22"/>
      <c r="D663" s="30"/>
    </row>
    <row r="664">
      <c r="B664" s="22"/>
      <c r="C664" s="22"/>
      <c r="D664" s="30"/>
    </row>
    <row r="665">
      <c r="B665" s="22"/>
      <c r="C665" s="22"/>
      <c r="D665" s="30"/>
    </row>
    <row r="666">
      <c r="B666" s="22"/>
      <c r="C666" s="22"/>
      <c r="D666" s="30"/>
    </row>
    <row r="667">
      <c r="B667" s="22"/>
      <c r="C667" s="22"/>
      <c r="D667" s="30"/>
    </row>
    <row r="668">
      <c r="B668" s="22"/>
      <c r="C668" s="22"/>
      <c r="D668" s="30"/>
    </row>
    <row r="669">
      <c r="B669" s="22"/>
      <c r="C669" s="22"/>
      <c r="D669" s="30"/>
    </row>
    <row r="670">
      <c r="B670" s="22"/>
      <c r="C670" s="22"/>
      <c r="D670" s="30"/>
    </row>
    <row r="671">
      <c r="B671" s="22"/>
      <c r="C671" s="22"/>
      <c r="D671" s="30"/>
    </row>
    <row r="672">
      <c r="B672" s="22"/>
      <c r="C672" s="22"/>
      <c r="D672" s="30"/>
    </row>
    <row r="673">
      <c r="B673" s="22"/>
      <c r="C673" s="22"/>
      <c r="D673" s="30"/>
    </row>
    <row r="674">
      <c r="B674" s="22"/>
      <c r="C674" s="22"/>
      <c r="D674" s="30"/>
    </row>
    <row r="675">
      <c r="B675" s="22"/>
      <c r="C675" s="22"/>
      <c r="D675" s="30"/>
    </row>
    <row r="676">
      <c r="B676" s="22"/>
      <c r="C676" s="22"/>
      <c r="D676" s="30"/>
    </row>
    <row r="677">
      <c r="B677" s="22"/>
      <c r="C677" s="22"/>
      <c r="D677" s="30"/>
    </row>
    <row r="678">
      <c r="B678" s="22"/>
      <c r="C678" s="22"/>
      <c r="D678" s="30"/>
    </row>
    <row r="679">
      <c r="B679" s="22"/>
      <c r="C679" s="22"/>
      <c r="D679" s="30"/>
    </row>
    <row r="680">
      <c r="B680" s="22"/>
      <c r="C680" s="22"/>
      <c r="D680" s="30"/>
    </row>
    <row r="681">
      <c r="B681" s="22"/>
      <c r="C681" s="22"/>
      <c r="D681" s="30"/>
    </row>
    <row r="682">
      <c r="B682" s="22"/>
      <c r="C682" s="22"/>
      <c r="D682" s="30"/>
    </row>
    <row r="683">
      <c r="B683" s="22"/>
      <c r="C683" s="22"/>
      <c r="D683" s="30"/>
    </row>
    <row r="684">
      <c r="B684" s="22"/>
      <c r="C684" s="22"/>
      <c r="D684" s="30"/>
    </row>
    <row r="685">
      <c r="B685" s="22"/>
      <c r="C685" s="22"/>
      <c r="D685" s="30"/>
    </row>
    <row r="686">
      <c r="B686" s="22"/>
      <c r="C686" s="22"/>
      <c r="D686" s="30"/>
    </row>
    <row r="687">
      <c r="B687" s="22"/>
      <c r="C687" s="22"/>
      <c r="D687" s="30"/>
    </row>
    <row r="688">
      <c r="B688" s="22"/>
      <c r="C688" s="22"/>
      <c r="D688" s="30"/>
    </row>
    <row r="689">
      <c r="B689" s="22"/>
      <c r="C689" s="22"/>
      <c r="D689" s="30"/>
    </row>
    <row r="690">
      <c r="B690" s="22"/>
      <c r="C690" s="22"/>
      <c r="D690" s="30"/>
    </row>
    <row r="691">
      <c r="B691" s="22"/>
      <c r="C691" s="22"/>
      <c r="D691" s="30"/>
    </row>
    <row r="692">
      <c r="B692" s="22"/>
      <c r="C692" s="22"/>
      <c r="D692" s="30"/>
    </row>
    <row r="693">
      <c r="B693" s="22"/>
      <c r="C693" s="22"/>
      <c r="D693" s="30"/>
    </row>
    <row r="694">
      <c r="B694" s="22"/>
      <c r="C694" s="22"/>
      <c r="D694" s="30"/>
    </row>
    <row r="695">
      <c r="B695" s="22"/>
      <c r="C695" s="22"/>
      <c r="D695" s="30"/>
    </row>
    <row r="696">
      <c r="B696" s="22"/>
      <c r="C696" s="22"/>
      <c r="D696" s="30"/>
    </row>
    <row r="697">
      <c r="B697" s="22"/>
      <c r="C697" s="22"/>
      <c r="D697" s="30"/>
    </row>
    <row r="698">
      <c r="B698" s="22"/>
      <c r="C698" s="22"/>
      <c r="D698" s="30"/>
    </row>
    <row r="699">
      <c r="B699" s="22"/>
      <c r="C699" s="22"/>
      <c r="D699" s="30"/>
    </row>
    <row r="700">
      <c r="B700" s="22"/>
      <c r="C700" s="22"/>
      <c r="D700" s="30"/>
    </row>
    <row r="701">
      <c r="B701" s="22"/>
      <c r="C701" s="22"/>
      <c r="D701" s="30"/>
    </row>
    <row r="702">
      <c r="B702" s="22"/>
      <c r="C702" s="22"/>
      <c r="D702" s="30"/>
    </row>
    <row r="703">
      <c r="B703" s="22"/>
      <c r="C703" s="22"/>
      <c r="D703" s="30"/>
    </row>
    <row r="704">
      <c r="B704" s="22"/>
      <c r="C704" s="22"/>
      <c r="D704" s="30"/>
    </row>
    <row r="705">
      <c r="B705" s="22"/>
      <c r="C705" s="22"/>
      <c r="D705" s="30"/>
    </row>
    <row r="706">
      <c r="B706" s="22"/>
      <c r="C706" s="22"/>
      <c r="D706" s="30"/>
    </row>
    <row r="707">
      <c r="B707" s="22"/>
      <c r="C707" s="22"/>
      <c r="D707" s="30"/>
    </row>
    <row r="708">
      <c r="B708" s="22"/>
      <c r="C708" s="22"/>
      <c r="D708" s="30"/>
    </row>
    <row r="709">
      <c r="B709" s="22"/>
      <c r="C709" s="22"/>
      <c r="D709" s="30"/>
    </row>
    <row r="710">
      <c r="B710" s="22"/>
      <c r="C710" s="22"/>
      <c r="D710" s="30"/>
    </row>
    <row r="711">
      <c r="B711" s="22"/>
      <c r="C711" s="22"/>
      <c r="D711" s="30"/>
    </row>
    <row r="712">
      <c r="B712" s="22"/>
      <c r="C712" s="22"/>
      <c r="D712" s="30"/>
    </row>
    <row r="713">
      <c r="B713" s="22"/>
      <c r="C713" s="22"/>
      <c r="D713" s="30"/>
    </row>
    <row r="714">
      <c r="B714" s="22"/>
      <c r="C714" s="22"/>
      <c r="D714" s="30"/>
    </row>
    <row r="715">
      <c r="B715" s="22"/>
      <c r="C715" s="22"/>
      <c r="D715" s="30"/>
    </row>
    <row r="716">
      <c r="B716" s="22"/>
      <c r="C716" s="22"/>
      <c r="D716" s="30"/>
    </row>
    <row r="717">
      <c r="B717" s="22"/>
      <c r="C717" s="22"/>
      <c r="D717" s="30"/>
    </row>
    <row r="718">
      <c r="B718" s="22"/>
      <c r="C718" s="22"/>
      <c r="D718" s="30"/>
    </row>
    <row r="719">
      <c r="B719" s="22"/>
      <c r="C719" s="22"/>
      <c r="D719" s="30"/>
    </row>
    <row r="720">
      <c r="B720" s="22"/>
      <c r="C720" s="22"/>
      <c r="D720" s="30"/>
    </row>
    <row r="721">
      <c r="B721" s="22"/>
      <c r="C721" s="22"/>
      <c r="D721" s="30"/>
    </row>
    <row r="722">
      <c r="B722" s="22"/>
      <c r="C722" s="22"/>
      <c r="D722" s="30"/>
    </row>
    <row r="723">
      <c r="B723" s="22"/>
      <c r="C723" s="22"/>
      <c r="D723" s="30"/>
    </row>
    <row r="724">
      <c r="B724" s="22"/>
      <c r="C724" s="22"/>
      <c r="D724" s="30"/>
    </row>
    <row r="725">
      <c r="B725" s="22"/>
      <c r="C725" s="22"/>
      <c r="D725" s="30"/>
    </row>
    <row r="726">
      <c r="B726" s="22"/>
      <c r="C726" s="22"/>
      <c r="D726" s="30"/>
    </row>
    <row r="727">
      <c r="B727" s="22"/>
      <c r="C727" s="22"/>
      <c r="D727" s="30"/>
    </row>
    <row r="728">
      <c r="B728" s="22"/>
      <c r="C728" s="22"/>
      <c r="D728" s="30"/>
    </row>
    <row r="729">
      <c r="B729" s="22"/>
      <c r="C729" s="22"/>
      <c r="D729" s="30"/>
    </row>
    <row r="730">
      <c r="B730" s="22"/>
      <c r="C730" s="22"/>
      <c r="D730" s="30"/>
    </row>
    <row r="731">
      <c r="B731" s="22"/>
      <c r="C731" s="22"/>
      <c r="D731" s="30"/>
    </row>
    <row r="732">
      <c r="B732" s="22"/>
      <c r="C732" s="22"/>
      <c r="D732" s="30"/>
    </row>
    <row r="733">
      <c r="B733" s="22"/>
      <c r="C733" s="22"/>
      <c r="D733" s="30"/>
    </row>
    <row r="734">
      <c r="B734" s="22"/>
      <c r="C734" s="22"/>
      <c r="D734" s="30"/>
    </row>
    <row r="735">
      <c r="B735" s="22"/>
      <c r="C735" s="22"/>
      <c r="D735" s="30"/>
    </row>
    <row r="736">
      <c r="B736" s="22"/>
      <c r="C736" s="22"/>
      <c r="D736" s="30"/>
    </row>
    <row r="737">
      <c r="B737" s="22"/>
      <c r="C737" s="22"/>
      <c r="D737" s="30"/>
    </row>
    <row r="738">
      <c r="B738" s="22"/>
      <c r="C738" s="22"/>
      <c r="D738" s="30"/>
    </row>
    <row r="739">
      <c r="B739" s="22"/>
      <c r="C739" s="22"/>
      <c r="D739" s="30"/>
    </row>
    <row r="740">
      <c r="B740" s="22"/>
      <c r="C740" s="22"/>
      <c r="D740" s="30"/>
    </row>
    <row r="741">
      <c r="B741" s="22"/>
      <c r="C741" s="22"/>
      <c r="D741" s="30"/>
    </row>
    <row r="742">
      <c r="B742" s="22"/>
      <c r="C742" s="22"/>
      <c r="D742" s="30"/>
    </row>
    <row r="743">
      <c r="B743" s="22"/>
      <c r="C743" s="22"/>
      <c r="D743" s="30"/>
    </row>
    <row r="744">
      <c r="B744" s="22"/>
      <c r="C744" s="22"/>
      <c r="D744" s="30"/>
    </row>
    <row r="745">
      <c r="B745" s="22"/>
      <c r="C745" s="22"/>
      <c r="D745" s="30"/>
    </row>
    <row r="746">
      <c r="B746" s="22"/>
      <c r="C746" s="22"/>
      <c r="D746" s="30"/>
    </row>
    <row r="747">
      <c r="B747" s="22"/>
      <c r="C747" s="22"/>
      <c r="D747" s="30"/>
    </row>
    <row r="748">
      <c r="B748" s="22"/>
      <c r="C748" s="22"/>
      <c r="D748" s="30"/>
    </row>
    <row r="749">
      <c r="B749" s="22"/>
      <c r="C749" s="22"/>
      <c r="D749" s="30"/>
    </row>
    <row r="750">
      <c r="B750" s="22"/>
      <c r="C750" s="22"/>
      <c r="D750" s="30"/>
    </row>
    <row r="751">
      <c r="B751" s="22"/>
      <c r="C751" s="22"/>
      <c r="D751" s="30"/>
    </row>
    <row r="752">
      <c r="B752" s="22"/>
      <c r="C752" s="22"/>
      <c r="D752" s="30"/>
    </row>
    <row r="753">
      <c r="B753" s="22"/>
      <c r="C753" s="22"/>
      <c r="D753" s="30"/>
    </row>
    <row r="754">
      <c r="B754" s="22"/>
      <c r="C754" s="22"/>
      <c r="D754" s="30"/>
    </row>
    <row r="755">
      <c r="B755" s="22"/>
      <c r="C755" s="22"/>
      <c r="D755" s="30"/>
    </row>
    <row r="756">
      <c r="B756" s="22"/>
      <c r="C756" s="22"/>
      <c r="D756" s="30"/>
    </row>
    <row r="757">
      <c r="B757" s="22"/>
      <c r="C757" s="22"/>
      <c r="D757" s="30"/>
    </row>
    <row r="758">
      <c r="B758" s="22"/>
      <c r="C758" s="22"/>
      <c r="D758" s="30"/>
    </row>
    <row r="759">
      <c r="B759" s="22"/>
      <c r="C759" s="22"/>
      <c r="D759" s="30"/>
    </row>
    <row r="760">
      <c r="B760" s="22"/>
      <c r="C760" s="22"/>
      <c r="D760" s="30"/>
    </row>
    <row r="761">
      <c r="B761" s="22"/>
      <c r="C761" s="22"/>
      <c r="D761" s="30"/>
    </row>
    <row r="762">
      <c r="B762" s="22"/>
      <c r="C762" s="22"/>
      <c r="D762" s="30"/>
    </row>
    <row r="763">
      <c r="B763" s="22"/>
      <c r="C763" s="22"/>
      <c r="D763" s="30"/>
    </row>
    <row r="764">
      <c r="B764" s="22"/>
      <c r="C764" s="22"/>
      <c r="D764" s="30"/>
    </row>
    <row r="765">
      <c r="B765" s="22"/>
      <c r="C765" s="22"/>
      <c r="D765" s="30"/>
    </row>
    <row r="766">
      <c r="B766" s="22"/>
      <c r="C766" s="22"/>
      <c r="D766" s="30"/>
    </row>
    <row r="767">
      <c r="B767" s="22"/>
      <c r="C767" s="22"/>
      <c r="D767" s="30"/>
    </row>
    <row r="768">
      <c r="B768" s="22"/>
      <c r="C768" s="22"/>
      <c r="D768" s="30"/>
    </row>
    <row r="769">
      <c r="B769" s="22"/>
      <c r="C769" s="22"/>
      <c r="D769" s="30"/>
    </row>
    <row r="770">
      <c r="B770" s="22"/>
      <c r="C770" s="22"/>
      <c r="D770" s="30"/>
    </row>
    <row r="771">
      <c r="B771" s="22"/>
      <c r="C771" s="22"/>
      <c r="D771" s="30"/>
    </row>
    <row r="772">
      <c r="B772" s="22"/>
      <c r="C772" s="22"/>
      <c r="D772" s="30"/>
    </row>
    <row r="773">
      <c r="B773" s="22"/>
      <c r="C773" s="22"/>
      <c r="D773" s="30"/>
    </row>
    <row r="774">
      <c r="B774" s="22"/>
      <c r="C774" s="22"/>
      <c r="D774" s="30"/>
    </row>
    <row r="775">
      <c r="B775" s="22"/>
      <c r="C775" s="22"/>
      <c r="D775" s="30"/>
    </row>
    <row r="776">
      <c r="B776" s="22"/>
      <c r="C776" s="22"/>
      <c r="D776" s="30"/>
    </row>
    <row r="777">
      <c r="B777" s="22"/>
      <c r="C777" s="22"/>
      <c r="D777" s="30"/>
    </row>
    <row r="778">
      <c r="B778" s="22"/>
      <c r="C778" s="22"/>
      <c r="D778" s="30"/>
    </row>
    <row r="779">
      <c r="B779" s="22"/>
      <c r="C779" s="22"/>
      <c r="D779" s="30"/>
    </row>
    <row r="780">
      <c r="B780" s="22"/>
      <c r="C780" s="22"/>
      <c r="D780" s="30"/>
    </row>
    <row r="781">
      <c r="B781" s="22"/>
      <c r="C781" s="22"/>
      <c r="D781" s="30"/>
    </row>
    <row r="782">
      <c r="B782" s="22"/>
      <c r="C782" s="22"/>
      <c r="D782" s="30"/>
    </row>
    <row r="783">
      <c r="B783" s="22"/>
      <c r="C783" s="22"/>
      <c r="D783" s="30"/>
    </row>
    <row r="784">
      <c r="B784" s="22"/>
      <c r="C784" s="22"/>
      <c r="D784" s="30"/>
    </row>
    <row r="785">
      <c r="B785" s="22"/>
      <c r="C785" s="22"/>
      <c r="D785" s="30"/>
    </row>
    <row r="786">
      <c r="B786" s="22"/>
      <c r="C786" s="22"/>
      <c r="D786" s="30"/>
    </row>
    <row r="787">
      <c r="B787" s="22"/>
      <c r="C787" s="22"/>
      <c r="D787" s="30"/>
    </row>
    <row r="788">
      <c r="B788" s="22"/>
      <c r="C788" s="22"/>
      <c r="D788" s="30"/>
    </row>
    <row r="789">
      <c r="B789" s="22"/>
      <c r="C789" s="22"/>
      <c r="D789" s="30"/>
    </row>
    <row r="790">
      <c r="B790" s="22"/>
      <c r="C790" s="22"/>
      <c r="D790" s="30"/>
    </row>
    <row r="791">
      <c r="B791" s="22"/>
      <c r="C791" s="22"/>
      <c r="D791" s="30"/>
    </row>
    <row r="792">
      <c r="B792" s="22"/>
      <c r="C792" s="22"/>
      <c r="D792" s="30"/>
    </row>
    <row r="793">
      <c r="B793" s="22"/>
      <c r="C793" s="22"/>
      <c r="D793" s="30"/>
    </row>
    <row r="794">
      <c r="B794" s="22"/>
      <c r="C794" s="22"/>
      <c r="D794" s="30"/>
    </row>
    <row r="795">
      <c r="B795" s="22"/>
      <c r="C795" s="22"/>
      <c r="D795" s="30"/>
    </row>
    <row r="796">
      <c r="B796" s="22"/>
      <c r="C796" s="22"/>
      <c r="D796" s="30"/>
    </row>
    <row r="797">
      <c r="B797" s="22"/>
      <c r="C797" s="22"/>
      <c r="D797" s="30"/>
    </row>
    <row r="798">
      <c r="B798" s="22"/>
      <c r="C798" s="22"/>
      <c r="D798" s="30"/>
    </row>
    <row r="799">
      <c r="B799" s="22"/>
      <c r="C799" s="22"/>
      <c r="D799" s="30"/>
    </row>
    <row r="800">
      <c r="B800" s="22"/>
      <c r="C800" s="22"/>
      <c r="D800" s="30"/>
    </row>
    <row r="801">
      <c r="B801" s="22"/>
      <c r="C801" s="22"/>
      <c r="D801" s="30"/>
    </row>
    <row r="802">
      <c r="B802" s="22"/>
      <c r="C802" s="22"/>
      <c r="D802" s="30"/>
    </row>
    <row r="803">
      <c r="B803" s="22"/>
      <c r="C803" s="22"/>
      <c r="D803" s="30"/>
    </row>
    <row r="804">
      <c r="B804" s="22"/>
      <c r="C804" s="22"/>
      <c r="D804" s="30"/>
    </row>
    <row r="805">
      <c r="B805" s="22"/>
      <c r="C805" s="22"/>
      <c r="D805" s="30"/>
    </row>
    <row r="806">
      <c r="B806" s="22"/>
      <c r="C806" s="22"/>
      <c r="D806" s="30"/>
    </row>
    <row r="807">
      <c r="B807" s="22"/>
      <c r="C807" s="22"/>
      <c r="D807" s="30"/>
    </row>
    <row r="808">
      <c r="B808" s="22"/>
      <c r="C808" s="22"/>
      <c r="D808" s="30"/>
    </row>
    <row r="809">
      <c r="B809" s="22"/>
      <c r="C809" s="22"/>
      <c r="D809" s="30"/>
    </row>
    <row r="810">
      <c r="B810" s="22"/>
      <c r="C810" s="22"/>
      <c r="D810" s="30"/>
    </row>
    <row r="811">
      <c r="B811" s="22"/>
      <c r="C811" s="22"/>
      <c r="D811" s="30"/>
    </row>
    <row r="812">
      <c r="B812" s="22"/>
      <c r="C812" s="22"/>
      <c r="D812" s="30"/>
    </row>
    <row r="813">
      <c r="B813" s="22"/>
      <c r="C813" s="22"/>
      <c r="D813" s="30"/>
    </row>
    <row r="814">
      <c r="B814" s="22"/>
      <c r="C814" s="22"/>
      <c r="D814" s="30"/>
    </row>
    <row r="815">
      <c r="B815" s="22"/>
      <c r="C815" s="22"/>
      <c r="D815" s="30"/>
    </row>
    <row r="816">
      <c r="B816" s="22"/>
      <c r="C816" s="22"/>
      <c r="D816" s="30"/>
    </row>
    <row r="817">
      <c r="B817" s="22"/>
      <c r="C817" s="22"/>
      <c r="D817" s="30"/>
    </row>
    <row r="818">
      <c r="B818" s="22"/>
      <c r="C818" s="22"/>
      <c r="D818" s="30"/>
    </row>
    <row r="819">
      <c r="B819" s="22"/>
      <c r="C819" s="22"/>
      <c r="D819" s="30"/>
    </row>
    <row r="820">
      <c r="B820" s="22"/>
      <c r="C820" s="22"/>
      <c r="D820" s="30"/>
    </row>
    <row r="821">
      <c r="B821" s="22"/>
      <c r="C821" s="22"/>
      <c r="D821" s="30"/>
    </row>
    <row r="822">
      <c r="B822" s="22"/>
      <c r="C822" s="22"/>
      <c r="D822" s="30"/>
    </row>
    <row r="823">
      <c r="B823" s="22"/>
      <c r="C823" s="22"/>
      <c r="D823" s="30"/>
    </row>
    <row r="824">
      <c r="B824" s="22"/>
      <c r="C824" s="22"/>
      <c r="D824" s="30"/>
    </row>
    <row r="825">
      <c r="B825" s="22"/>
      <c r="C825" s="22"/>
      <c r="D825" s="30"/>
    </row>
    <row r="826">
      <c r="B826" s="22"/>
      <c r="C826" s="22"/>
      <c r="D826" s="30"/>
    </row>
    <row r="827">
      <c r="B827" s="22"/>
      <c r="C827" s="22"/>
      <c r="D827" s="30"/>
    </row>
    <row r="828">
      <c r="B828" s="22"/>
      <c r="C828" s="22"/>
      <c r="D828" s="30"/>
    </row>
    <row r="829">
      <c r="B829" s="22"/>
      <c r="C829" s="22"/>
      <c r="D829" s="30"/>
    </row>
    <row r="830">
      <c r="B830" s="22"/>
      <c r="C830" s="22"/>
      <c r="D830" s="30"/>
    </row>
    <row r="831">
      <c r="B831" s="22"/>
      <c r="C831" s="22"/>
      <c r="D831" s="30"/>
    </row>
    <row r="832">
      <c r="B832" s="22"/>
      <c r="C832" s="22"/>
      <c r="D832" s="30"/>
    </row>
    <row r="833">
      <c r="B833" s="22"/>
      <c r="C833" s="22"/>
      <c r="D833" s="30"/>
    </row>
    <row r="834">
      <c r="B834" s="22"/>
      <c r="C834" s="22"/>
      <c r="D834" s="30"/>
    </row>
    <row r="835">
      <c r="B835" s="22"/>
      <c r="C835" s="22"/>
      <c r="D835" s="30"/>
    </row>
    <row r="836">
      <c r="B836" s="22"/>
      <c r="C836" s="22"/>
      <c r="D836" s="30"/>
    </row>
    <row r="837">
      <c r="B837" s="22"/>
      <c r="C837" s="22"/>
      <c r="D837" s="30"/>
    </row>
    <row r="838">
      <c r="B838" s="22"/>
      <c r="C838" s="22"/>
      <c r="D838" s="30"/>
    </row>
    <row r="839">
      <c r="B839" s="22"/>
      <c r="C839" s="22"/>
      <c r="D839" s="30"/>
    </row>
    <row r="840">
      <c r="B840" s="22"/>
      <c r="C840" s="22"/>
      <c r="D840" s="30"/>
    </row>
    <row r="841">
      <c r="B841" s="22"/>
      <c r="C841" s="22"/>
      <c r="D841" s="30"/>
    </row>
    <row r="842">
      <c r="B842" s="22"/>
      <c r="C842" s="22"/>
      <c r="D842" s="30"/>
    </row>
    <row r="843">
      <c r="B843" s="22"/>
      <c r="C843" s="22"/>
      <c r="D843" s="30"/>
    </row>
    <row r="844">
      <c r="B844" s="22"/>
      <c r="C844" s="22"/>
      <c r="D844" s="30"/>
    </row>
    <row r="845">
      <c r="B845" s="22"/>
      <c r="C845" s="22"/>
      <c r="D845" s="30"/>
    </row>
    <row r="846">
      <c r="B846" s="22"/>
      <c r="C846" s="22"/>
      <c r="D846" s="30"/>
    </row>
    <row r="847">
      <c r="B847" s="22"/>
      <c r="C847" s="22"/>
      <c r="D847" s="30"/>
    </row>
    <row r="848">
      <c r="B848" s="22"/>
      <c r="C848" s="22"/>
      <c r="D848" s="30"/>
    </row>
    <row r="849">
      <c r="B849" s="22"/>
      <c r="C849" s="22"/>
      <c r="D849" s="30"/>
    </row>
    <row r="850">
      <c r="B850" s="22"/>
      <c r="C850" s="22"/>
      <c r="D850" s="30"/>
    </row>
    <row r="851">
      <c r="B851" s="22"/>
      <c r="C851" s="22"/>
      <c r="D851" s="30"/>
    </row>
    <row r="852">
      <c r="B852" s="22"/>
      <c r="C852" s="22"/>
      <c r="D852" s="30"/>
    </row>
    <row r="853">
      <c r="B853" s="22"/>
      <c r="C853" s="22"/>
      <c r="D853" s="30"/>
    </row>
    <row r="854">
      <c r="B854" s="22"/>
      <c r="C854" s="22"/>
      <c r="D854" s="30"/>
    </row>
    <row r="855">
      <c r="B855" s="22"/>
      <c r="C855" s="22"/>
      <c r="D855" s="30"/>
    </row>
    <row r="856">
      <c r="B856" s="22"/>
      <c r="C856" s="22"/>
      <c r="D856" s="30"/>
    </row>
    <row r="857">
      <c r="B857" s="22"/>
      <c r="C857" s="22"/>
      <c r="D857" s="30"/>
    </row>
    <row r="858">
      <c r="B858" s="22"/>
      <c r="C858" s="22"/>
      <c r="D858" s="30"/>
    </row>
    <row r="859">
      <c r="B859" s="22"/>
      <c r="C859" s="22"/>
      <c r="D859" s="30"/>
    </row>
    <row r="860">
      <c r="B860" s="22"/>
      <c r="C860" s="22"/>
      <c r="D860" s="30"/>
    </row>
    <row r="861">
      <c r="B861" s="22"/>
      <c r="C861" s="22"/>
      <c r="D861" s="30"/>
    </row>
    <row r="862">
      <c r="B862" s="22"/>
      <c r="C862" s="22"/>
      <c r="D862" s="30"/>
    </row>
    <row r="863">
      <c r="B863" s="22"/>
      <c r="C863" s="22"/>
      <c r="D863" s="30"/>
    </row>
    <row r="864">
      <c r="B864" s="22"/>
      <c r="C864" s="22"/>
      <c r="D864" s="30"/>
    </row>
    <row r="865">
      <c r="B865" s="22"/>
      <c r="C865" s="22"/>
      <c r="D865" s="30"/>
    </row>
    <row r="866">
      <c r="B866" s="22"/>
      <c r="C866" s="22"/>
      <c r="D866" s="30"/>
    </row>
    <row r="867">
      <c r="B867" s="22"/>
      <c r="C867" s="22"/>
      <c r="D867" s="30"/>
    </row>
    <row r="868">
      <c r="B868" s="22"/>
      <c r="C868" s="22"/>
      <c r="D868" s="30"/>
    </row>
    <row r="869">
      <c r="B869" s="22"/>
      <c r="C869" s="22"/>
      <c r="D869" s="30"/>
    </row>
    <row r="870">
      <c r="B870" s="22"/>
      <c r="C870" s="22"/>
      <c r="D870" s="30"/>
    </row>
    <row r="871">
      <c r="B871" s="22"/>
      <c r="C871" s="22"/>
      <c r="D871" s="30"/>
    </row>
    <row r="872">
      <c r="B872" s="22"/>
      <c r="C872" s="22"/>
      <c r="D872" s="30"/>
    </row>
    <row r="873">
      <c r="B873" s="22"/>
      <c r="C873" s="22"/>
      <c r="D873" s="30"/>
    </row>
    <row r="874">
      <c r="B874" s="22"/>
      <c r="C874" s="22"/>
      <c r="D874" s="30"/>
    </row>
    <row r="875">
      <c r="B875" s="22"/>
      <c r="C875" s="22"/>
      <c r="D875" s="30"/>
    </row>
    <row r="876">
      <c r="B876" s="22"/>
      <c r="C876" s="22"/>
      <c r="D876" s="30"/>
    </row>
    <row r="877">
      <c r="B877" s="22"/>
      <c r="C877" s="22"/>
      <c r="D877" s="30"/>
    </row>
    <row r="878">
      <c r="B878" s="22"/>
      <c r="C878" s="22"/>
      <c r="D878" s="30"/>
    </row>
    <row r="879">
      <c r="B879" s="22"/>
      <c r="C879" s="22"/>
      <c r="D879" s="30"/>
    </row>
    <row r="880">
      <c r="B880" s="22"/>
      <c r="C880" s="22"/>
      <c r="D880" s="30"/>
    </row>
    <row r="881">
      <c r="B881" s="22"/>
      <c r="C881" s="22"/>
      <c r="D881" s="30"/>
    </row>
    <row r="882">
      <c r="B882" s="22"/>
      <c r="C882" s="22"/>
      <c r="D882" s="30"/>
    </row>
    <row r="883">
      <c r="B883" s="22"/>
      <c r="C883" s="22"/>
      <c r="D883" s="30"/>
    </row>
    <row r="884">
      <c r="B884" s="22"/>
      <c r="C884" s="22"/>
      <c r="D884" s="30"/>
    </row>
    <row r="885">
      <c r="B885" s="22"/>
      <c r="C885" s="22"/>
      <c r="D885" s="30"/>
    </row>
    <row r="886">
      <c r="B886" s="22"/>
      <c r="C886" s="22"/>
      <c r="D886" s="30"/>
    </row>
    <row r="887">
      <c r="B887" s="22"/>
      <c r="C887" s="22"/>
      <c r="D887" s="30"/>
    </row>
    <row r="888">
      <c r="B888" s="22"/>
      <c r="C888" s="22"/>
      <c r="D888" s="30"/>
    </row>
    <row r="889">
      <c r="B889" s="22"/>
      <c r="C889" s="22"/>
      <c r="D889" s="30"/>
    </row>
    <row r="890">
      <c r="B890" s="22"/>
      <c r="C890" s="22"/>
      <c r="D890" s="30"/>
    </row>
    <row r="891">
      <c r="B891" s="22"/>
      <c r="C891" s="22"/>
      <c r="D891" s="30"/>
    </row>
    <row r="892">
      <c r="B892" s="22"/>
      <c r="C892" s="22"/>
      <c r="D892" s="30"/>
    </row>
    <row r="893">
      <c r="B893" s="22"/>
      <c r="C893" s="22"/>
      <c r="D893" s="30"/>
    </row>
    <row r="894">
      <c r="B894" s="22"/>
      <c r="C894" s="22"/>
      <c r="D894" s="30"/>
    </row>
    <row r="895">
      <c r="B895" s="22"/>
      <c r="C895" s="22"/>
      <c r="D895" s="30"/>
    </row>
    <row r="896">
      <c r="B896" s="22"/>
      <c r="C896" s="22"/>
      <c r="D896" s="30"/>
    </row>
    <row r="897">
      <c r="B897" s="22"/>
      <c r="C897" s="22"/>
      <c r="D897" s="30"/>
    </row>
    <row r="898">
      <c r="B898" s="22"/>
      <c r="C898" s="22"/>
      <c r="D898" s="30"/>
    </row>
    <row r="899">
      <c r="B899" s="22"/>
      <c r="C899" s="22"/>
      <c r="D899" s="30"/>
    </row>
    <row r="900">
      <c r="B900" s="22"/>
      <c r="C900" s="22"/>
      <c r="D900" s="30"/>
    </row>
    <row r="901">
      <c r="B901" s="22"/>
      <c r="C901" s="22"/>
      <c r="D901" s="30"/>
    </row>
    <row r="902">
      <c r="B902" s="22"/>
      <c r="C902" s="22"/>
      <c r="D902" s="30"/>
    </row>
    <row r="903">
      <c r="B903" s="22"/>
      <c r="C903" s="22"/>
      <c r="D903" s="30"/>
    </row>
    <row r="904">
      <c r="B904" s="22"/>
      <c r="C904" s="22"/>
      <c r="D904" s="30"/>
    </row>
    <row r="905">
      <c r="B905" s="22"/>
      <c r="C905" s="22"/>
      <c r="D905" s="30"/>
    </row>
    <row r="906">
      <c r="B906" s="22"/>
      <c r="C906" s="22"/>
      <c r="D906" s="30"/>
    </row>
    <row r="907">
      <c r="B907" s="22"/>
      <c r="C907" s="22"/>
      <c r="D907" s="30"/>
    </row>
    <row r="908">
      <c r="B908" s="22"/>
      <c r="C908" s="22"/>
      <c r="D908" s="30"/>
    </row>
    <row r="909">
      <c r="B909" s="22"/>
      <c r="C909" s="22"/>
      <c r="D909" s="30"/>
    </row>
    <row r="910">
      <c r="B910" s="22"/>
      <c r="C910" s="22"/>
      <c r="D910" s="30"/>
    </row>
    <row r="911">
      <c r="B911" s="22"/>
      <c r="C911" s="22"/>
      <c r="D911" s="30"/>
    </row>
    <row r="912">
      <c r="B912" s="22"/>
      <c r="C912" s="22"/>
      <c r="D912" s="30"/>
    </row>
    <row r="913">
      <c r="B913" s="22"/>
      <c r="C913" s="22"/>
      <c r="D913" s="30"/>
    </row>
    <row r="914">
      <c r="B914" s="22"/>
      <c r="C914" s="22"/>
      <c r="D914" s="30"/>
    </row>
    <row r="915">
      <c r="B915" s="22"/>
      <c r="C915" s="22"/>
      <c r="D915" s="30"/>
    </row>
    <row r="916">
      <c r="B916" s="22"/>
      <c r="C916" s="22"/>
      <c r="D916" s="30"/>
    </row>
    <row r="917">
      <c r="B917" s="22"/>
      <c r="C917" s="22"/>
      <c r="D917" s="30"/>
    </row>
    <row r="918">
      <c r="B918" s="22"/>
      <c r="C918" s="22"/>
      <c r="D918" s="30"/>
    </row>
    <row r="919">
      <c r="B919" s="22"/>
      <c r="C919" s="22"/>
      <c r="D919" s="30"/>
    </row>
    <row r="920">
      <c r="B920" s="22"/>
      <c r="C920" s="22"/>
      <c r="D920" s="30"/>
    </row>
    <row r="921">
      <c r="B921" s="22"/>
      <c r="C921" s="22"/>
      <c r="D921" s="30"/>
    </row>
    <row r="922">
      <c r="B922" s="22"/>
      <c r="C922" s="22"/>
      <c r="D922" s="30"/>
    </row>
    <row r="923">
      <c r="B923" s="22"/>
      <c r="C923" s="22"/>
      <c r="D923" s="30"/>
    </row>
    <row r="924">
      <c r="B924" s="22"/>
      <c r="C924" s="22"/>
      <c r="D924" s="30"/>
    </row>
    <row r="925">
      <c r="B925" s="22"/>
      <c r="C925" s="22"/>
      <c r="D925" s="30"/>
    </row>
    <row r="926">
      <c r="B926" s="22"/>
      <c r="C926" s="22"/>
      <c r="D926" s="30"/>
    </row>
    <row r="927">
      <c r="B927" s="22"/>
      <c r="C927" s="22"/>
      <c r="D927" s="30"/>
    </row>
    <row r="928">
      <c r="B928" s="22"/>
      <c r="C928" s="22"/>
      <c r="D928" s="30"/>
    </row>
    <row r="929">
      <c r="B929" s="22"/>
      <c r="C929" s="22"/>
      <c r="D929" s="30"/>
    </row>
    <row r="930">
      <c r="B930" s="22"/>
      <c r="C930" s="22"/>
      <c r="D930" s="30"/>
    </row>
    <row r="931">
      <c r="B931" s="22"/>
      <c r="C931" s="22"/>
      <c r="D931" s="30"/>
    </row>
    <row r="932">
      <c r="B932" s="22"/>
      <c r="C932" s="22"/>
      <c r="D932" s="30"/>
    </row>
    <row r="933">
      <c r="B933" s="22"/>
      <c r="C933" s="22"/>
      <c r="D933" s="30"/>
    </row>
    <row r="934">
      <c r="B934" s="22"/>
      <c r="C934" s="22"/>
      <c r="D934" s="30"/>
    </row>
    <row r="935">
      <c r="B935" s="22"/>
      <c r="C935" s="22"/>
      <c r="D935" s="30"/>
    </row>
    <row r="936">
      <c r="B936" s="22"/>
      <c r="C936" s="22"/>
      <c r="D936" s="30"/>
    </row>
    <row r="937">
      <c r="B937" s="22"/>
      <c r="C937" s="22"/>
      <c r="D937" s="30"/>
    </row>
    <row r="938">
      <c r="B938" s="22"/>
      <c r="C938" s="22"/>
      <c r="D938" s="30"/>
    </row>
    <row r="939">
      <c r="B939" s="22"/>
      <c r="C939" s="22"/>
      <c r="D939" s="30"/>
    </row>
    <row r="940">
      <c r="B940" s="22"/>
      <c r="C940" s="22"/>
      <c r="D940" s="30"/>
    </row>
    <row r="941">
      <c r="B941" s="22"/>
      <c r="C941" s="22"/>
      <c r="D941" s="30"/>
    </row>
    <row r="942">
      <c r="B942" s="22"/>
      <c r="C942" s="22"/>
      <c r="D942" s="30"/>
    </row>
    <row r="943">
      <c r="B943" s="22"/>
      <c r="C943" s="22"/>
      <c r="D943" s="30"/>
    </row>
    <row r="944">
      <c r="B944" s="22"/>
      <c r="C944" s="22"/>
      <c r="D944" s="30"/>
    </row>
    <row r="945">
      <c r="B945" s="22"/>
      <c r="C945" s="22"/>
      <c r="D945" s="30"/>
    </row>
    <row r="946">
      <c r="B946" s="22"/>
      <c r="C946" s="22"/>
      <c r="D946" s="30"/>
    </row>
    <row r="947">
      <c r="B947" s="22"/>
      <c r="C947" s="22"/>
      <c r="D947" s="30"/>
    </row>
    <row r="948">
      <c r="B948" s="22"/>
      <c r="C948" s="22"/>
      <c r="D948" s="30"/>
    </row>
    <row r="949">
      <c r="B949" s="22"/>
      <c r="C949" s="22"/>
      <c r="D949" s="30"/>
    </row>
    <row r="950">
      <c r="B950" s="22"/>
      <c r="C950" s="22"/>
      <c r="D950" s="30"/>
    </row>
    <row r="951">
      <c r="B951" s="22"/>
      <c r="C951" s="22"/>
      <c r="D951" s="30"/>
    </row>
    <row r="952">
      <c r="B952" s="22"/>
      <c r="C952" s="22"/>
      <c r="D952" s="30"/>
    </row>
    <row r="953">
      <c r="B953" s="22"/>
      <c r="C953" s="22"/>
      <c r="D953" s="30"/>
    </row>
    <row r="954">
      <c r="B954" s="22"/>
      <c r="C954" s="22"/>
      <c r="D954" s="30"/>
    </row>
    <row r="955">
      <c r="B955" s="22"/>
      <c r="C955" s="22"/>
      <c r="D955" s="30"/>
    </row>
    <row r="956">
      <c r="B956" s="22"/>
      <c r="C956" s="22"/>
      <c r="D956" s="30"/>
    </row>
    <row r="957">
      <c r="B957" s="22"/>
      <c r="C957" s="22"/>
      <c r="D957" s="30"/>
    </row>
    <row r="958">
      <c r="B958" s="22"/>
      <c r="C958" s="22"/>
      <c r="D958" s="30"/>
    </row>
    <row r="959">
      <c r="B959" s="22"/>
      <c r="C959" s="22"/>
      <c r="D959" s="30"/>
    </row>
    <row r="960">
      <c r="B960" s="22"/>
      <c r="C960" s="22"/>
      <c r="D960" s="30"/>
    </row>
    <row r="961">
      <c r="B961" s="22"/>
      <c r="C961" s="22"/>
      <c r="D961" s="30"/>
    </row>
    <row r="962">
      <c r="B962" s="22"/>
      <c r="C962" s="22"/>
      <c r="D962" s="30"/>
    </row>
    <row r="963">
      <c r="B963" s="22"/>
      <c r="C963" s="22"/>
      <c r="D963" s="30"/>
    </row>
    <row r="964">
      <c r="B964" s="22"/>
      <c r="C964" s="22"/>
      <c r="D964" s="30"/>
    </row>
    <row r="965">
      <c r="B965" s="22"/>
      <c r="C965" s="22"/>
      <c r="D965" s="30"/>
    </row>
    <row r="966">
      <c r="B966" s="22"/>
      <c r="C966" s="22"/>
      <c r="D966" s="30"/>
    </row>
    <row r="967">
      <c r="B967" s="22"/>
      <c r="C967" s="22"/>
      <c r="D967" s="30"/>
    </row>
    <row r="968">
      <c r="B968" s="22"/>
      <c r="C968" s="22"/>
      <c r="D968" s="30"/>
    </row>
    <row r="969">
      <c r="B969" s="22"/>
      <c r="C969" s="22"/>
      <c r="D969" s="30"/>
    </row>
    <row r="970">
      <c r="B970" s="22"/>
      <c r="C970" s="22"/>
      <c r="D970" s="30"/>
    </row>
    <row r="971">
      <c r="B971" s="22"/>
      <c r="C971" s="22"/>
      <c r="D971" s="30"/>
    </row>
    <row r="972">
      <c r="B972" s="22"/>
      <c r="C972" s="22"/>
      <c r="D972" s="30"/>
    </row>
    <row r="973">
      <c r="B973" s="22"/>
      <c r="C973" s="22"/>
      <c r="D973" s="30"/>
    </row>
    <row r="974">
      <c r="B974" s="22"/>
      <c r="C974" s="22"/>
      <c r="D974" s="30"/>
    </row>
    <row r="975">
      <c r="B975" s="22"/>
      <c r="C975" s="22"/>
      <c r="D975" s="30"/>
    </row>
    <row r="976">
      <c r="B976" s="22"/>
      <c r="C976" s="22"/>
      <c r="D976" s="30"/>
    </row>
    <row r="977">
      <c r="B977" s="22"/>
      <c r="C977" s="22"/>
      <c r="D977" s="30"/>
    </row>
    <row r="978">
      <c r="B978" s="22"/>
      <c r="C978" s="22"/>
      <c r="D978" s="30"/>
    </row>
    <row r="979">
      <c r="B979" s="22"/>
      <c r="C979" s="22"/>
      <c r="D979" s="30"/>
    </row>
    <row r="980">
      <c r="B980" s="22"/>
      <c r="C980" s="22"/>
      <c r="D980" s="30"/>
    </row>
    <row r="981">
      <c r="B981" s="22"/>
      <c r="C981" s="22"/>
      <c r="D981" s="30"/>
    </row>
    <row r="982">
      <c r="B982" s="22"/>
      <c r="C982" s="22"/>
      <c r="D982" s="30"/>
    </row>
    <row r="983">
      <c r="B983" s="22"/>
      <c r="C983" s="22"/>
      <c r="D983" s="30"/>
    </row>
    <row r="984">
      <c r="B984" s="22"/>
      <c r="C984" s="22"/>
      <c r="D984" s="30"/>
    </row>
    <row r="985">
      <c r="B985" s="22"/>
      <c r="C985" s="22"/>
      <c r="D985" s="30"/>
    </row>
    <row r="986">
      <c r="B986" s="22"/>
      <c r="C986" s="22"/>
      <c r="D986" s="30"/>
    </row>
    <row r="987">
      <c r="B987" s="22"/>
      <c r="C987" s="22"/>
      <c r="D987" s="30"/>
    </row>
    <row r="988">
      <c r="B988" s="22"/>
      <c r="C988" s="22"/>
      <c r="D988" s="30"/>
    </row>
    <row r="989">
      <c r="B989" s="22"/>
      <c r="C989" s="22"/>
      <c r="D989" s="30"/>
    </row>
    <row r="990">
      <c r="B990" s="22"/>
      <c r="C990" s="22"/>
      <c r="D990" s="30"/>
    </row>
    <row r="991">
      <c r="B991" s="22"/>
      <c r="C991" s="22"/>
      <c r="D991" s="30"/>
    </row>
    <row r="992">
      <c r="B992" s="22"/>
      <c r="C992" s="22"/>
      <c r="D992" s="30"/>
    </row>
    <row r="993">
      <c r="B993" s="22"/>
      <c r="C993" s="22"/>
      <c r="D993" s="30"/>
    </row>
    <row r="994">
      <c r="B994" s="22"/>
      <c r="C994" s="22"/>
      <c r="D994" s="30"/>
    </row>
    <row r="995">
      <c r="B995" s="22"/>
      <c r="C995" s="22"/>
      <c r="D995" s="30"/>
    </row>
    <row r="996">
      <c r="B996" s="22"/>
      <c r="C996" s="22"/>
      <c r="D996" s="30"/>
    </row>
    <row r="997">
      <c r="B997" s="22"/>
      <c r="C997" s="22"/>
      <c r="D997" s="30"/>
    </row>
    <row r="998">
      <c r="B998" s="22"/>
      <c r="C998" s="22"/>
      <c r="D998" s="30"/>
    </row>
    <row r="999">
      <c r="B999" s="22"/>
      <c r="C999" s="22"/>
      <c r="D999" s="30"/>
    </row>
    <row r="1000">
      <c r="B1000" s="22"/>
      <c r="C1000" s="22"/>
      <c r="D1000" s="30"/>
    </row>
    <row r="1001">
      <c r="B1001" s="22"/>
      <c r="C1001" s="22"/>
      <c r="D1001" s="30"/>
    </row>
    <row r="1002">
      <c r="B1002" s="22"/>
      <c r="C1002" s="22"/>
      <c r="D1002" s="30"/>
    </row>
    <row r="1003">
      <c r="B1003" s="22"/>
      <c r="C1003" s="22"/>
      <c r="D1003" s="30"/>
    </row>
    <row r="1004">
      <c r="B1004" s="22"/>
      <c r="C1004" s="22"/>
      <c r="D1004" s="30"/>
    </row>
    <row r="1005">
      <c r="B1005" s="22"/>
      <c r="C1005" s="22"/>
      <c r="D1005" s="30"/>
    </row>
    <row r="1006">
      <c r="B1006" s="22"/>
      <c r="C1006" s="22"/>
      <c r="D1006" s="30"/>
    </row>
    <row r="1007">
      <c r="B1007" s="22"/>
      <c r="C1007" s="22"/>
      <c r="D1007" s="30"/>
    </row>
    <row r="1008">
      <c r="B1008" s="22"/>
      <c r="C1008" s="22"/>
      <c r="D1008" s="30"/>
    </row>
    <row r="1009">
      <c r="B1009" s="22"/>
      <c r="C1009" s="22"/>
      <c r="D1009" s="30"/>
    </row>
    <row r="1010">
      <c r="B1010" s="22"/>
      <c r="C1010" s="22"/>
      <c r="D1010" s="30"/>
    </row>
    <row r="1011">
      <c r="B1011" s="22"/>
      <c r="C1011" s="22"/>
      <c r="D1011" s="30"/>
    </row>
    <row r="1012">
      <c r="B1012" s="22"/>
      <c r="C1012" s="22"/>
      <c r="D1012" s="30"/>
    </row>
    <row r="1013">
      <c r="B1013" s="22"/>
      <c r="C1013" s="22"/>
      <c r="D1013" s="30"/>
    </row>
    <row r="1014">
      <c r="B1014" s="22"/>
      <c r="C1014" s="22"/>
      <c r="D1014" s="30"/>
    </row>
    <row r="1015">
      <c r="B1015" s="22"/>
      <c r="C1015" s="22"/>
      <c r="D1015" s="30"/>
    </row>
    <row r="1016">
      <c r="B1016" s="22"/>
      <c r="C1016" s="22"/>
      <c r="D1016" s="30"/>
    </row>
    <row r="1017">
      <c r="B1017" s="22"/>
      <c r="C1017" s="22"/>
      <c r="D1017" s="30"/>
    </row>
    <row r="1018">
      <c r="B1018" s="22"/>
      <c r="C1018" s="22"/>
      <c r="D1018" s="30"/>
    </row>
    <row r="1019">
      <c r="B1019" s="22"/>
      <c r="C1019" s="22"/>
      <c r="D1019" s="30"/>
    </row>
    <row r="1020">
      <c r="B1020" s="22"/>
      <c r="C1020" s="22"/>
      <c r="D1020" s="30"/>
    </row>
    <row r="1021">
      <c r="B1021" s="22"/>
      <c r="C1021" s="22"/>
      <c r="D1021" s="30"/>
    </row>
    <row r="1022">
      <c r="B1022" s="22"/>
      <c r="C1022" s="22"/>
      <c r="D1022" s="30"/>
    </row>
    <row r="1023">
      <c r="B1023" s="22"/>
      <c r="C1023" s="22"/>
      <c r="D1023" s="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6.0"/>
  </cols>
  <sheetData>
    <row r="1">
      <c r="A1" s="1" t="s">
        <v>3</v>
      </c>
      <c r="B1" s="18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>
        <v>45926.0</v>
      </c>
      <c r="B2" s="5">
        <v>8557648.0</v>
      </c>
      <c r="C2" s="5">
        <v>4917612.0</v>
      </c>
      <c r="D2" s="6">
        <f t="shared" ref="D2:D7" si="2">C2/B2</f>
        <v>0.5746452764</v>
      </c>
      <c r="E2" s="8">
        <f t="shared" ref="E2:E7" si="3">average(D2)</f>
        <v>0.5746452764</v>
      </c>
      <c r="F2" s="9">
        <f t="shared" ref="F2:G2" si="1">average(B2)</f>
        <v>8557648</v>
      </c>
      <c r="G2" s="9">
        <f t="shared" si="1"/>
        <v>4917612</v>
      </c>
      <c r="H2" s="9">
        <f t="shared" ref="H2:H7" si="5">F2*12</f>
        <v>102691776</v>
      </c>
      <c r="I2" s="9">
        <f t="shared" ref="I2:I7" si="6">G2*12*4</f>
        <v>236045376</v>
      </c>
    </row>
    <row r="3">
      <c r="A3" s="2">
        <v>45961.0</v>
      </c>
      <c r="B3" s="5">
        <v>6235299.0</v>
      </c>
      <c r="C3" s="5">
        <v>1040343.0</v>
      </c>
      <c r="D3" s="6">
        <f t="shared" si="2"/>
        <v>0.1668473316</v>
      </c>
      <c r="E3" s="8">
        <f t="shared" si="3"/>
        <v>0.1668473316</v>
      </c>
      <c r="F3" s="9">
        <f t="shared" ref="F3:G3" si="4">average(B3)</f>
        <v>6235299</v>
      </c>
      <c r="G3" s="9">
        <f t="shared" si="4"/>
        <v>1040343</v>
      </c>
      <c r="H3" s="9">
        <f t="shared" si="5"/>
        <v>74823588</v>
      </c>
      <c r="I3" s="9">
        <f t="shared" si="6"/>
        <v>49936464</v>
      </c>
    </row>
    <row r="4">
      <c r="A4" s="2">
        <v>45991.0</v>
      </c>
      <c r="B4" s="5">
        <v>4648220.0</v>
      </c>
      <c r="C4" s="5">
        <v>808422.0</v>
      </c>
      <c r="D4" s="6">
        <f t="shared" si="2"/>
        <v>0.1739207697</v>
      </c>
      <c r="E4" s="8">
        <f t="shared" si="3"/>
        <v>0.1739207697</v>
      </c>
      <c r="F4" s="9">
        <f t="shared" ref="F4:G4" si="7">average(B4)</f>
        <v>4648220</v>
      </c>
      <c r="G4" s="9">
        <f t="shared" si="7"/>
        <v>808422</v>
      </c>
      <c r="H4" s="9">
        <f t="shared" si="5"/>
        <v>55778640</v>
      </c>
      <c r="I4" s="9">
        <f t="shared" si="6"/>
        <v>38804256</v>
      </c>
    </row>
    <row r="5">
      <c r="A5" s="2">
        <v>46022.0</v>
      </c>
      <c r="B5" s="5">
        <v>5316033.0</v>
      </c>
      <c r="C5" s="5">
        <v>1835953.0</v>
      </c>
      <c r="D5" s="6">
        <f t="shared" si="2"/>
        <v>0.3453614754</v>
      </c>
      <c r="E5" s="8">
        <f t="shared" si="3"/>
        <v>0.3453614754</v>
      </c>
      <c r="F5" s="9">
        <f t="shared" ref="F5:G5" si="8">average(B5)</f>
        <v>5316033</v>
      </c>
      <c r="G5" s="9">
        <f t="shared" si="8"/>
        <v>1835953</v>
      </c>
      <c r="H5" s="9">
        <f t="shared" si="5"/>
        <v>63792396</v>
      </c>
      <c r="I5" s="9">
        <f t="shared" si="6"/>
        <v>88125744</v>
      </c>
    </row>
    <row r="6">
      <c r="A6" s="2">
        <v>46053.0</v>
      </c>
      <c r="B6" s="5">
        <v>4487218.0</v>
      </c>
      <c r="C6" s="5">
        <v>617640.0</v>
      </c>
      <c r="D6" s="6">
        <f t="shared" si="2"/>
        <v>0.1376443043</v>
      </c>
      <c r="E6" s="8">
        <f t="shared" si="3"/>
        <v>0.1376443043</v>
      </c>
      <c r="F6" s="9">
        <f t="shared" ref="F6:G6" si="9">average(B6)</f>
        <v>4487218</v>
      </c>
      <c r="G6" s="9">
        <f t="shared" si="9"/>
        <v>617640</v>
      </c>
      <c r="H6" s="9">
        <f t="shared" si="5"/>
        <v>53846616</v>
      </c>
      <c r="I6" s="9">
        <f t="shared" si="6"/>
        <v>29646720</v>
      </c>
    </row>
    <row r="7">
      <c r="A7" s="2">
        <v>46081.0</v>
      </c>
      <c r="B7" s="5">
        <v>3486490.0</v>
      </c>
      <c r="C7" s="5">
        <v>281929.0</v>
      </c>
      <c r="D7" s="6">
        <f t="shared" si="2"/>
        <v>0.0808632751</v>
      </c>
      <c r="E7" s="8">
        <f t="shared" si="3"/>
        <v>0.0808632751</v>
      </c>
      <c r="F7" s="9">
        <f t="shared" ref="F7:G7" si="10">average(B7)</f>
        <v>3486490</v>
      </c>
      <c r="G7" s="9">
        <f t="shared" si="10"/>
        <v>281929</v>
      </c>
      <c r="H7" s="9">
        <f t="shared" si="5"/>
        <v>41837880</v>
      </c>
      <c r="I7" s="9">
        <f t="shared" si="6"/>
        <v>13532592</v>
      </c>
    </row>
    <row r="8">
      <c r="A8" s="2"/>
      <c r="B8" s="5"/>
      <c r="C8" s="5"/>
      <c r="D8" s="6"/>
      <c r="E8" s="10"/>
      <c r="F8" s="9"/>
      <c r="G8" s="9"/>
      <c r="H8" s="9"/>
      <c r="I8" s="9"/>
    </row>
    <row r="9">
      <c r="B9" s="7"/>
      <c r="C9" s="7"/>
    </row>
    <row r="10">
      <c r="B10" s="7"/>
      <c r="C10" s="7"/>
    </row>
    <row r="11">
      <c r="A11" s="11"/>
      <c r="B11" s="12"/>
      <c r="C11" s="1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3">
        <f t="array" ref="A12:I12">INDEX(A2:I11, COUNTA(A2:A11), 0)</f>
        <v>46081</v>
      </c>
      <c r="B12" s="14">
        <v>3486490.0</v>
      </c>
      <c r="C12" s="14">
        <v>281929.0</v>
      </c>
      <c r="D12" s="15">
        <v>0.08086327509902509</v>
      </c>
      <c r="E12" s="15">
        <v>0.08086327509902509</v>
      </c>
      <c r="F12" s="14">
        <v>3486490.0</v>
      </c>
      <c r="G12" s="14">
        <v>281929.0</v>
      </c>
      <c r="H12" s="14">
        <v>4.183788E7</v>
      </c>
      <c r="I12" s="14">
        <v>1.3532592E7</v>
      </c>
    </row>
    <row r="15">
      <c r="A15" s="1" t="s">
        <v>12</v>
      </c>
      <c r="F15" s="16">
        <f>F12*12</f>
        <v>41837880</v>
      </c>
    </row>
    <row r="16">
      <c r="A16" s="1" t="s">
        <v>13</v>
      </c>
      <c r="G16" s="16">
        <f>G12*12*4</f>
        <v>13532592</v>
      </c>
    </row>
    <row r="17">
      <c r="A17" s="1" t="s">
        <v>14</v>
      </c>
      <c r="H17" s="9">
        <f>(F15+G16)/2</f>
        <v>27685236</v>
      </c>
    </row>
    <row r="19">
      <c r="A19" s="1" t="s">
        <v>15</v>
      </c>
      <c r="B19" s="1">
        <v>1.0</v>
      </c>
      <c r="C19" s="1" t="s">
        <v>16</v>
      </c>
      <c r="F19" s="16">
        <f>F15/100*B19</f>
        <v>418378.8</v>
      </c>
    </row>
    <row r="20">
      <c r="G20" s="16">
        <f>G16/100*B19</f>
        <v>135325.92</v>
      </c>
    </row>
    <row r="21">
      <c r="A21" s="1" t="s">
        <v>14</v>
      </c>
      <c r="H21" s="9">
        <f>(F19+G20)/2</f>
        <v>276852.36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8" t="s">
        <v>17</v>
      </c>
      <c r="C1" s="18" t="s">
        <v>18</v>
      </c>
      <c r="D1" s="19" t="s">
        <v>19</v>
      </c>
      <c r="E1" s="1" t="s">
        <v>20</v>
      </c>
      <c r="F1" s="1" t="s">
        <v>21</v>
      </c>
    </row>
    <row r="2">
      <c r="A2" s="2">
        <v>45957.0</v>
      </c>
      <c r="B2" s="18">
        <v>400000.0</v>
      </c>
      <c r="C2" s="18">
        <v>32.66</v>
      </c>
      <c r="D2" s="20">
        <f t="shared" ref="D2:D7" si="1">B2/C2</f>
        <v>12247.39743</v>
      </c>
      <c r="E2" s="1">
        <v>10.0</v>
      </c>
    </row>
    <row r="3">
      <c r="A3" s="2">
        <v>45992.0</v>
      </c>
      <c r="B3" s="18">
        <v>100000.0</v>
      </c>
      <c r="C3" s="18">
        <v>31.97</v>
      </c>
      <c r="D3" s="20">
        <f t="shared" si="1"/>
        <v>3127.932437</v>
      </c>
      <c r="E3" s="1">
        <v>10.0</v>
      </c>
    </row>
    <row r="4">
      <c r="A4" s="2">
        <v>46020.0</v>
      </c>
      <c r="B4" s="18">
        <v>80000.0</v>
      </c>
      <c r="C4" s="18">
        <v>31.44</v>
      </c>
      <c r="D4" s="20">
        <f t="shared" si="1"/>
        <v>2544.529262</v>
      </c>
      <c r="E4" s="1">
        <v>10.0</v>
      </c>
    </row>
    <row r="5">
      <c r="A5" s="2">
        <v>46052.0</v>
      </c>
      <c r="B5" s="18">
        <v>150000.0</v>
      </c>
      <c r="C5" s="18">
        <v>31.4</v>
      </c>
      <c r="D5" s="20">
        <f t="shared" si="1"/>
        <v>4777.070064</v>
      </c>
      <c r="E5" s="1">
        <v>10.0</v>
      </c>
    </row>
    <row r="6">
      <c r="A6" s="2">
        <v>46081.0</v>
      </c>
      <c r="B6" s="18">
        <v>0.0</v>
      </c>
      <c r="C6" s="18">
        <v>32.0</v>
      </c>
      <c r="D6" s="20">
        <f t="shared" si="1"/>
        <v>0</v>
      </c>
      <c r="E6" s="1">
        <v>10.0</v>
      </c>
    </row>
    <row r="7">
      <c r="A7" s="2">
        <v>46112.0</v>
      </c>
      <c r="B7" s="18">
        <v>0.0</v>
      </c>
      <c r="C7" s="18">
        <v>32.89</v>
      </c>
      <c r="D7" s="20">
        <f t="shared" si="1"/>
        <v>0</v>
      </c>
      <c r="E7" s="1">
        <v>10.0</v>
      </c>
    </row>
    <row r="8">
      <c r="A8" s="2"/>
      <c r="B8" s="18"/>
      <c r="C8" s="18"/>
      <c r="D8" s="20"/>
    </row>
    <row r="9">
      <c r="A9" s="2"/>
      <c r="B9" s="18"/>
      <c r="C9" s="18"/>
      <c r="D9" s="20"/>
    </row>
    <row r="10">
      <c r="A10" s="2"/>
      <c r="B10" s="18"/>
      <c r="C10" s="18"/>
      <c r="D10" s="20"/>
    </row>
    <row r="11">
      <c r="A11" s="2"/>
      <c r="B11" s="18"/>
      <c r="C11" s="18"/>
      <c r="D11" s="20"/>
    </row>
    <row r="12">
      <c r="A12" s="2"/>
      <c r="B12" s="18"/>
      <c r="C12" s="18"/>
      <c r="D12" s="20"/>
    </row>
    <row r="13">
      <c r="A13" s="2"/>
      <c r="B13" s="18"/>
      <c r="C13" s="18"/>
      <c r="D13" s="20"/>
    </row>
    <row r="14">
      <c r="A14" s="2"/>
      <c r="B14" s="18"/>
      <c r="C14" s="18"/>
      <c r="D14" s="20"/>
    </row>
    <row r="15">
      <c r="A15" s="2"/>
      <c r="B15" s="18"/>
      <c r="C15" s="18"/>
      <c r="D15" s="20"/>
    </row>
    <row r="16">
      <c r="A16" s="2"/>
      <c r="B16" s="18"/>
      <c r="C16" s="18"/>
      <c r="D16" s="20"/>
    </row>
    <row r="17">
      <c r="A17" s="2"/>
      <c r="B17" s="18"/>
      <c r="C17" s="18"/>
      <c r="D17" s="20"/>
    </row>
    <row r="18">
      <c r="A18" s="2"/>
      <c r="B18" s="25"/>
      <c r="C18" s="18"/>
      <c r="D18" s="20"/>
    </row>
    <row r="19">
      <c r="A19" s="2"/>
      <c r="B19" s="18"/>
      <c r="C19" s="18"/>
      <c r="D19" s="20"/>
    </row>
    <row r="20">
      <c r="A20" s="2"/>
      <c r="B20" s="18"/>
      <c r="C20" s="18"/>
      <c r="D20" s="20"/>
    </row>
    <row r="21">
      <c r="A21" s="2"/>
      <c r="B21" s="18"/>
      <c r="C21" s="18"/>
      <c r="D21" s="20"/>
    </row>
    <row r="22">
      <c r="A22" s="2"/>
      <c r="B22" s="18"/>
      <c r="C22" s="18"/>
      <c r="D22" s="20"/>
    </row>
    <row r="23">
      <c r="A23" s="2"/>
      <c r="B23" s="18"/>
      <c r="C23" s="18"/>
      <c r="D23" s="20"/>
    </row>
    <row r="24">
      <c r="A24" s="2"/>
      <c r="B24" s="18"/>
      <c r="C24" s="18"/>
      <c r="D24" s="20"/>
    </row>
    <row r="25">
      <c r="A25" s="2"/>
      <c r="B25" s="18"/>
      <c r="C25" s="18"/>
      <c r="D25" s="20"/>
    </row>
    <row r="26">
      <c r="B26" s="22"/>
      <c r="C26" s="22"/>
      <c r="D26" s="30"/>
    </row>
    <row r="27">
      <c r="B27" s="22"/>
      <c r="C27" s="22"/>
      <c r="D27" s="30"/>
    </row>
    <row r="28">
      <c r="A28" s="11"/>
      <c r="B28" s="27"/>
      <c r="C28" s="27"/>
      <c r="D28" s="28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33" t="s">
        <v>26</v>
      </c>
      <c r="B29" s="34">
        <f>sum(B2:B28)</f>
        <v>730000</v>
      </c>
      <c r="C29" s="22"/>
      <c r="D29" s="34">
        <f>sum(D2:D28)</f>
        <v>22696.92919</v>
      </c>
      <c r="F29" s="37"/>
    </row>
    <row r="30">
      <c r="A30" s="1" t="s">
        <v>27</v>
      </c>
      <c r="B30" s="8">
        <f>B29/C35</f>
        <v>0.09125</v>
      </c>
      <c r="C30" s="22"/>
      <c r="D30" s="8">
        <f>D29/C36</f>
        <v>0.09206441903</v>
      </c>
    </row>
    <row r="31">
      <c r="A31" s="1" t="s">
        <v>28</v>
      </c>
      <c r="B31" s="26">
        <f>B29/C34</f>
        <v>73000</v>
      </c>
      <c r="C31" s="22"/>
      <c r="D31" s="41"/>
    </row>
    <row r="32">
      <c r="A32" s="1"/>
      <c r="B32" s="41"/>
      <c r="C32" s="22"/>
      <c r="D32" s="41"/>
      <c r="I32" s="22"/>
    </row>
    <row r="33">
      <c r="A33" s="37" t="s">
        <v>26</v>
      </c>
      <c r="B33" s="22"/>
      <c r="C33" s="22"/>
      <c r="D33" s="30"/>
    </row>
    <row r="34">
      <c r="A34" s="1" t="s">
        <v>33</v>
      </c>
      <c r="B34" s="22"/>
      <c r="C34" s="18">
        <v>10.0</v>
      </c>
      <c r="D34" s="19" t="s">
        <v>16</v>
      </c>
    </row>
    <row r="35">
      <c r="A35" s="1" t="s">
        <v>35</v>
      </c>
      <c r="B35" s="22"/>
      <c r="C35" s="54">
        <v>8000000.0</v>
      </c>
      <c r="D35" s="19" t="s">
        <v>36</v>
      </c>
      <c r="G35" s="1"/>
    </row>
    <row r="36">
      <c r="A36" s="1" t="s">
        <v>38</v>
      </c>
      <c r="B36" s="22"/>
      <c r="C36" s="39">
        <f>C35/32.45</f>
        <v>246533.1279</v>
      </c>
      <c r="D36" s="19" t="s">
        <v>39</v>
      </c>
    </row>
    <row r="37">
      <c r="A37" s="1" t="s">
        <v>40</v>
      </c>
      <c r="B37" s="22"/>
      <c r="C37" s="18">
        <v>800000.0</v>
      </c>
      <c r="D37" s="19" t="s">
        <v>36</v>
      </c>
      <c r="I37" s="25"/>
    </row>
    <row r="38">
      <c r="B38" s="22"/>
      <c r="C38" s="22"/>
      <c r="D38" s="30"/>
      <c r="G38" s="3"/>
    </row>
    <row r="39">
      <c r="A39" s="37"/>
      <c r="B39" s="22"/>
      <c r="C39" s="22"/>
      <c r="D39" s="30"/>
      <c r="G39" s="3"/>
      <c r="I39" s="41"/>
    </row>
    <row r="40">
      <c r="A40" s="37"/>
      <c r="B40" s="18"/>
      <c r="C40" s="18"/>
      <c r="D40" s="18"/>
      <c r="I40" s="22"/>
    </row>
    <row r="41">
      <c r="B41" s="18"/>
      <c r="C41" s="18"/>
      <c r="D41" s="18"/>
    </row>
    <row r="42">
      <c r="B42" s="2"/>
      <c r="C42" s="2"/>
      <c r="D42" s="30"/>
    </row>
    <row r="43">
      <c r="B43" s="18"/>
      <c r="C43" s="18"/>
      <c r="D43" s="18"/>
    </row>
    <row r="44">
      <c r="B44" s="22"/>
      <c r="C44" s="18"/>
      <c r="D44" s="19"/>
    </row>
    <row r="45">
      <c r="B45" s="22"/>
      <c r="C45" s="22"/>
      <c r="D45" s="19"/>
    </row>
    <row r="46">
      <c r="B46" s="22"/>
      <c r="C46" s="22"/>
      <c r="D46" s="30"/>
    </row>
    <row r="47">
      <c r="A47" s="37"/>
      <c r="B47" s="22"/>
      <c r="C47" s="22"/>
      <c r="D47" s="30"/>
    </row>
    <row r="48">
      <c r="A48" s="37"/>
      <c r="B48" s="22"/>
      <c r="C48" s="22"/>
      <c r="D48" s="30"/>
    </row>
    <row r="49">
      <c r="B49" s="18"/>
      <c r="C49" s="18"/>
      <c r="D49" s="18"/>
    </row>
    <row r="50">
      <c r="B50" s="22"/>
      <c r="C50" s="2"/>
      <c r="D50" s="30"/>
    </row>
    <row r="51">
      <c r="B51" s="18"/>
      <c r="C51" s="18"/>
      <c r="D51" s="18"/>
    </row>
    <row r="52">
      <c r="B52" s="22"/>
      <c r="C52" s="18"/>
      <c r="D52" s="18"/>
    </row>
    <row r="53">
      <c r="B53" s="22"/>
      <c r="C53" s="18"/>
      <c r="D53" s="19"/>
    </row>
    <row r="54">
      <c r="B54" s="22"/>
      <c r="C54" s="22"/>
      <c r="D54" s="30"/>
    </row>
    <row r="55">
      <c r="B55" s="22"/>
      <c r="C55" s="22"/>
      <c r="D55" s="30"/>
    </row>
    <row r="56">
      <c r="B56" s="22"/>
      <c r="C56" s="22"/>
      <c r="D56" s="30"/>
    </row>
    <row r="57">
      <c r="B57" s="22"/>
      <c r="C57" s="22"/>
      <c r="D57" s="30"/>
    </row>
    <row r="58">
      <c r="B58" s="22"/>
      <c r="C58" s="22"/>
      <c r="D58" s="30"/>
    </row>
    <row r="59">
      <c r="B59" s="22"/>
      <c r="C59" s="22"/>
      <c r="D59" s="30"/>
    </row>
    <row r="60">
      <c r="B60" s="22"/>
      <c r="C60" s="22"/>
      <c r="D60" s="30"/>
    </row>
    <row r="61">
      <c r="B61" s="22"/>
      <c r="C61" s="22"/>
      <c r="D61" s="30"/>
    </row>
    <row r="62">
      <c r="B62" s="22"/>
      <c r="C62" s="22"/>
      <c r="D62" s="30"/>
    </row>
    <row r="63">
      <c r="B63" s="22"/>
      <c r="C63" s="22"/>
      <c r="D63" s="30"/>
    </row>
    <row r="64">
      <c r="B64" s="22"/>
      <c r="C64" s="22"/>
      <c r="D64" s="30"/>
    </row>
    <row r="65">
      <c r="B65" s="22"/>
      <c r="C65" s="22"/>
      <c r="D65" s="30"/>
    </row>
    <row r="66">
      <c r="B66" s="22"/>
      <c r="C66" s="22"/>
      <c r="D66" s="30"/>
    </row>
    <row r="67">
      <c r="B67" s="22"/>
      <c r="C67" s="22"/>
      <c r="D67" s="30"/>
    </row>
    <row r="68">
      <c r="B68" s="22"/>
      <c r="C68" s="22"/>
      <c r="D68" s="30"/>
    </row>
    <row r="69">
      <c r="B69" s="22"/>
      <c r="C69" s="22"/>
      <c r="D69" s="30"/>
    </row>
    <row r="70">
      <c r="B70" s="22"/>
      <c r="C70" s="22"/>
      <c r="D70" s="30"/>
    </row>
    <row r="71">
      <c r="B71" s="22"/>
      <c r="C71" s="22"/>
      <c r="D71" s="30"/>
    </row>
    <row r="72">
      <c r="B72" s="22"/>
      <c r="C72" s="22"/>
      <c r="D72" s="30"/>
    </row>
    <row r="73">
      <c r="B73" s="22"/>
      <c r="C73" s="22"/>
      <c r="D73" s="30"/>
    </row>
    <row r="74">
      <c r="B74" s="22"/>
      <c r="C74" s="22"/>
      <c r="D74" s="30"/>
    </row>
    <row r="75">
      <c r="B75" s="22"/>
      <c r="C75" s="22"/>
      <c r="D75" s="30"/>
    </row>
    <row r="76">
      <c r="B76" s="22"/>
      <c r="C76" s="22"/>
      <c r="D76" s="30"/>
    </row>
    <row r="77">
      <c r="B77" s="22"/>
      <c r="C77" s="22"/>
      <c r="D77" s="30"/>
    </row>
    <row r="78">
      <c r="B78" s="22"/>
      <c r="C78" s="22"/>
      <c r="D78" s="30"/>
    </row>
    <row r="79">
      <c r="B79" s="22"/>
      <c r="C79" s="22"/>
      <c r="D79" s="30"/>
    </row>
    <row r="80">
      <c r="B80" s="22"/>
      <c r="C80" s="22"/>
      <c r="D80" s="30"/>
    </row>
    <row r="81">
      <c r="B81" s="22"/>
      <c r="C81" s="22"/>
      <c r="D81" s="30"/>
    </row>
    <row r="82">
      <c r="B82" s="22"/>
      <c r="C82" s="22"/>
      <c r="D82" s="30"/>
    </row>
    <row r="83">
      <c r="B83" s="22"/>
      <c r="C83" s="22"/>
      <c r="D83" s="30"/>
    </row>
    <row r="84">
      <c r="B84" s="22"/>
      <c r="C84" s="22"/>
      <c r="D84" s="30"/>
    </row>
    <row r="85">
      <c r="B85" s="22"/>
      <c r="C85" s="22"/>
      <c r="D85" s="30"/>
    </row>
    <row r="86">
      <c r="B86" s="22"/>
      <c r="C86" s="22"/>
      <c r="D86" s="30"/>
    </row>
    <row r="87">
      <c r="B87" s="22"/>
      <c r="C87" s="22"/>
      <c r="D87" s="30"/>
    </row>
    <row r="88">
      <c r="B88" s="22"/>
      <c r="C88" s="22"/>
      <c r="D88" s="30"/>
    </row>
    <row r="89">
      <c r="B89" s="22"/>
      <c r="C89" s="22"/>
      <c r="D89" s="30"/>
    </row>
    <row r="90">
      <c r="B90" s="22"/>
      <c r="C90" s="22"/>
      <c r="D90" s="30"/>
    </row>
    <row r="91">
      <c r="B91" s="22"/>
      <c r="C91" s="22"/>
      <c r="D91" s="30"/>
    </row>
    <row r="92">
      <c r="B92" s="22"/>
      <c r="C92" s="22"/>
      <c r="D92" s="30"/>
    </row>
    <row r="93">
      <c r="B93" s="22"/>
      <c r="C93" s="22"/>
      <c r="D93" s="30"/>
    </row>
    <row r="94">
      <c r="B94" s="22"/>
      <c r="C94" s="22"/>
      <c r="D94" s="30"/>
    </row>
    <row r="95">
      <c r="B95" s="22"/>
      <c r="C95" s="22"/>
      <c r="D95" s="30"/>
    </row>
    <row r="96">
      <c r="B96" s="22"/>
      <c r="C96" s="22"/>
      <c r="D96" s="30"/>
    </row>
    <row r="97">
      <c r="B97" s="22"/>
      <c r="C97" s="22"/>
      <c r="D97" s="30"/>
    </row>
    <row r="98">
      <c r="B98" s="22"/>
      <c r="C98" s="22"/>
      <c r="D98" s="30"/>
    </row>
    <row r="99">
      <c r="B99" s="22"/>
      <c r="C99" s="22"/>
      <c r="D99" s="30"/>
    </row>
    <row r="100">
      <c r="B100" s="22"/>
      <c r="C100" s="22"/>
      <c r="D100" s="30"/>
    </row>
    <row r="101">
      <c r="B101" s="22"/>
      <c r="C101" s="22"/>
      <c r="D101" s="30"/>
    </row>
    <row r="102">
      <c r="B102" s="22"/>
      <c r="C102" s="22"/>
      <c r="D102" s="30"/>
    </row>
    <row r="103">
      <c r="B103" s="22"/>
      <c r="C103" s="22"/>
      <c r="D103" s="30"/>
    </row>
    <row r="104">
      <c r="B104" s="22"/>
      <c r="C104" s="22"/>
      <c r="D104" s="30"/>
    </row>
    <row r="105">
      <c r="B105" s="22"/>
      <c r="C105" s="22"/>
      <c r="D105" s="30"/>
    </row>
    <row r="106">
      <c r="B106" s="22"/>
      <c r="C106" s="22"/>
      <c r="D106" s="30"/>
    </row>
    <row r="107">
      <c r="B107" s="22"/>
      <c r="C107" s="22"/>
      <c r="D107" s="30"/>
    </row>
    <row r="108">
      <c r="B108" s="22"/>
      <c r="C108" s="22"/>
      <c r="D108" s="30"/>
    </row>
    <row r="109">
      <c r="B109" s="22"/>
      <c r="C109" s="22"/>
      <c r="D109" s="30"/>
    </row>
    <row r="110">
      <c r="B110" s="22"/>
      <c r="C110" s="22"/>
      <c r="D110" s="30"/>
    </row>
    <row r="111">
      <c r="B111" s="22"/>
      <c r="C111" s="22"/>
      <c r="D111" s="30"/>
    </row>
    <row r="112">
      <c r="B112" s="22"/>
      <c r="C112" s="22"/>
      <c r="D112" s="30"/>
    </row>
    <row r="113">
      <c r="B113" s="22"/>
      <c r="C113" s="22"/>
      <c r="D113" s="30"/>
    </row>
    <row r="114">
      <c r="B114" s="22"/>
      <c r="C114" s="22"/>
      <c r="D114" s="30"/>
    </row>
    <row r="115">
      <c r="B115" s="22"/>
      <c r="C115" s="22"/>
      <c r="D115" s="30"/>
    </row>
    <row r="116">
      <c r="B116" s="22"/>
      <c r="C116" s="22"/>
      <c r="D116" s="30"/>
    </row>
    <row r="117">
      <c r="B117" s="22"/>
      <c r="C117" s="22"/>
      <c r="D117" s="30"/>
    </row>
    <row r="118">
      <c r="B118" s="22"/>
      <c r="C118" s="22"/>
      <c r="D118" s="30"/>
    </row>
    <row r="119">
      <c r="B119" s="22"/>
      <c r="C119" s="22"/>
      <c r="D119" s="30"/>
    </row>
    <row r="120">
      <c r="B120" s="22"/>
      <c r="C120" s="22"/>
      <c r="D120" s="30"/>
    </row>
    <row r="121">
      <c r="B121" s="22"/>
      <c r="C121" s="22"/>
      <c r="D121" s="30"/>
    </row>
    <row r="122">
      <c r="B122" s="22"/>
      <c r="C122" s="22"/>
      <c r="D122" s="30"/>
    </row>
    <row r="123">
      <c r="B123" s="22"/>
      <c r="C123" s="22"/>
      <c r="D123" s="30"/>
    </row>
    <row r="124">
      <c r="B124" s="22"/>
      <c r="C124" s="22"/>
      <c r="D124" s="30"/>
    </row>
    <row r="125">
      <c r="B125" s="22"/>
      <c r="C125" s="22"/>
      <c r="D125" s="30"/>
    </row>
    <row r="126">
      <c r="B126" s="22"/>
      <c r="C126" s="22"/>
      <c r="D126" s="30"/>
    </row>
    <row r="127">
      <c r="B127" s="22"/>
      <c r="C127" s="22"/>
      <c r="D127" s="30"/>
    </row>
    <row r="128">
      <c r="B128" s="22"/>
      <c r="C128" s="22"/>
      <c r="D128" s="30"/>
    </row>
    <row r="129">
      <c r="B129" s="22"/>
      <c r="C129" s="22"/>
      <c r="D129" s="30"/>
    </row>
    <row r="130">
      <c r="B130" s="22"/>
      <c r="C130" s="22"/>
      <c r="D130" s="30"/>
    </row>
    <row r="131">
      <c r="B131" s="22"/>
      <c r="C131" s="22"/>
      <c r="D131" s="30"/>
    </row>
    <row r="132">
      <c r="B132" s="22"/>
      <c r="C132" s="22"/>
      <c r="D132" s="30"/>
    </row>
    <row r="133">
      <c r="B133" s="22"/>
      <c r="C133" s="22"/>
      <c r="D133" s="30"/>
    </row>
    <row r="134">
      <c r="B134" s="22"/>
      <c r="C134" s="22"/>
      <c r="D134" s="30"/>
    </row>
    <row r="135">
      <c r="B135" s="22"/>
      <c r="C135" s="22"/>
      <c r="D135" s="30"/>
    </row>
    <row r="136">
      <c r="B136" s="22"/>
      <c r="C136" s="22"/>
      <c r="D136" s="30"/>
    </row>
    <row r="137">
      <c r="B137" s="22"/>
      <c r="C137" s="22"/>
      <c r="D137" s="30"/>
    </row>
    <row r="138">
      <c r="B138" s="22"/>
      <c r="C138" s="22"/>
      <c r="D138" s="30"/>
    </row>
    <row r="139">
      <c r="B139" s="22"/>
      <c r="C139" s="22"/>
      <c r="D139" s="30"/>
    </row>
    <row r="140">
      <c r="B140" s="22"/>
      <c r="C140" s="22"/>
      <c r="D140" s="30"/>
    </row>
    <row r="141">
      <c r="B141" s="22"/>
      <c r="C141" s="22"/>
      <c r="D141" s="30"/>
    </row>
    <row r="142">
      <c r="B142" s="22"/>
      <c r="C142" s="22"/>
      <c r="D142" s="30"/>
    </row>
    <row r="143">
      <c r="B143" s="22"/>
      <c r="C143" s="22"/>
      <c r="D143" s="30"/>
    </row>
    <row r="144">
      <c r="B144" s="22"/>
      <c r="C144" s="22"/>
      <c r="D144" s="30"/>
    </row>
    <row r="145">
      <c r="B145" s="22"/>
      <c r="C145" s="22"/>
      <c r="D145" s="30"/>
    </row>
    <row r="146">
      <c r="B146" s="22"/>
      <c r="C146" s="22"/>
      <c r="D146" s="30"/>
    </row>
    <row r="147">
      <c r="B147" s="22"/>
      <c r="C147" s="22"/>
      <c r="D147" s="30"/>
    </row>
    <row r="148">
      <c r="B148" s="22"/>
      <c r="C148" s="22"/>
      <c r="D148" s="30"/>
    </row>
    <row r="149">
      <c r="B149" s="22"/>
      <c r="C149" s="22"/>
      <c r="D149" s="30"/>
    </row>
    <row r="150">
      <c r="B150" s="22"/>
      <c r="C150" s="22"/>
      <c r="D150" s="30"/>
    </row>
    <row r="151">
      <c r="B151" s="22"/>
      <c r="C151" s="22"/>
      <c r="D151" s="30"/>
    </row>
    <row r="152">
      <c r="B152" s="22"/>
      <c r="C152" s="22"/>
      <c r="D152" s="30"/>
    </row>
    <row r="153">
      <c r="B153" s="22"/>
      <c r="C153" s="22"/>
      <c r="D153" s="30"/>
    </row>
    <row r="154">
      <c r="B154" s="22"/>
      <c r="C154" s="22"/>
      <c r="D154" s="30"/>
    </row>
    <row r="155">
      <c r="B155" s="22"/>
      <c r="C155" s="22"/>
      <c r="D155" s="30"/>
    </row>
    <row r="156">
      <c r="B156" s="22"/>
      <c r="C156" s="22"/>
      <c r="D156" s="30"/>
    </row>
    <row r="157">
      <c r="B157" s="22"/>
      <c r="C157" s="22"/>
      <c r="D157" s="30"/>
    </row>
    <row r="158">
      <c r="B158" s="22"/>
      <c r="C158" s="22"/>
      <c r="D158" s="30"/>
    </row>
    <row r="159">
      <c r="B159" s="22"/>
      <c r="C159" s="22"/>
      <c r="D159" s="30"/>
    </row>
    <row r="160">
      <c r="B160" s="22"/>
      <c r="C160" s="22"/>
      <c r="D160" s="30"/>
    </row>
    <row r="161">
      <c r="B161" s="22"/>
      <c r="C161" s="22"/>
      <c r="D161" s="30"/>
    </row>
    <row r="162">
      <c r="B162" s="22"/>
      <c r="C162" s="22"/>
      <c r="D162" s="30"/>
    </row>
    <row r="163">
      <c r="B163" s="22"/>
      <c r="C163" s="22"/>
      <c r="D163" s="30"/>
    </row>
    <row r="164">
      <c r="B164" s="22"/>
      <c r="C164" s="22"/>
      <c r="D164" s="30"/>
    </row>
    <row r="165">
      <c r="B165" s="22"/>
      <c r="C165" s="22"/>
      <c r="D165" s="30"/>
    </row>
    <row r="166">
      <c r="B166" s="22"/>
      <c r="C166" s="22"/>
      <c r="D166" s="30"/>
    </row>
    <row r="167">
      <c r="B167" s="22"/>
      <c r="C167" s="22"/>
      <c r="D167" s="30"/>
    </row>
    <row r="168">
      <c r="B168" s="22"/>
      <c r="C168" s="22"/>
      <c r="D168" s="30"/>
    </row>
    <row r="169">
      <c r="B169" s="22"/>
      <c r="C169" s="22"/>
      <c r="D169" s="30"/>
    </row>
    <row r="170">
      <c r="B170" s="22"/>
      <c r="C170" s="22"/>
      <c r="D170" s="30"/>
    </row>
    <row r="171">
      <c r="B171" s="22"/>
      <c r="C171" s="22"/>
      <c r="D171" s="30"/>
    </row>
    <row r="172">
      <c r="B172" s="22"/>
      <c r="C172" s="22"/>
      <c r="D172" s="30"/>
    </row>
    <row r="173">
      <c r="B173" s="22"/>
      <c r="C173" s="22"/>
      <c r="D173" s="30"/>
    </row>
    <row r="174">
      <c r="B174" s="22"/>
      <c r="C174" s="22"/>
      <c r="D174" s="30"/>
    </row>
    <row r="175">
      <c r="B175" s="22"/>
      <c r="C175" s="22"/>
      <c r="D175" s="30"/>
    </row>
    <row r="176">
      <c r="B176" s="22"/>
      <c r="C176" s="22"/>
      <c r="D176" s="30"/>
    </row>
    <row r="177">
      <c r="B177" s="22"/>
      <c r="C177" s="22"/>
      <c r="D177" s="30"/>
    </row>
    <row r="178">
      <c r="B178" s="22"/>
      <c r="C178" s="22"/>
      <c r="D178" s="30"/>
    </row>
    <row r="179">
      <c r="B179" s="22"/>
      <c r="C179" s="22"/>
      <c r="D179" s="30"/>
    </row>
    <row r="180">
      <c r="B180" s="22"/>
      <c r="C180" s="22"/>
      <c r="D180" s="30"/>
    </row>
    <row r="181">
      <c r="B181" s="22"/>
      <c r="C181" s="22"/>
      <c r="D181" s="30"/>
    </row>
    <row r="182">
      <c r="B182" s="22"/>
      <c r="C182" s="22"/>
      <c r="D182" s="30"/>
    </row>
    <row r="183">
      <c r="B183" s="22"/>
      <c r="C183" s="22"/>
      <c r="D183" s="30"/>
    </row>
    <row r="184">
      <c r="B184" s="22"/>
      <c r="C184" s="22"/>
      <c r="D184" s="30"/>
    </row>
    <row r="185">
      <c r="B185" s="22"/>
      <c r="C185" s="22"/>
      <c r="D185" s="30"/>
    </row>
    <row r="186">
      <c r="B186" s="22"/>
      <c r="C186" s="22"/>
      <c r="D186" s="30"/>
    </row>
    <row r="187">
      <c r="B187" s="22"/>
      <c r="C187" s="22"/>
      <c r="D187" s="30"/>
    </row>
    <row r="188">
      <c r="B188" s="22"/>
      <c r="C188" s="22"/>
      <c r="D188" s="30"/>
    </row>
    <row r="189">
      <c r="B189" s="22"/>
      <c r="C189" s="22"/>
      <c r="D189" s="30"/>
    </row>
    <row r="190">
      <c r="B190" s="22"/>
      <c r="C190" s="22"/>
      <c r="D190" s="30"/>
    </row>
    <row r="191">
      <c r="B191" s="22"/>
      <c r="C191" s="22"/>
      <c r="D191" s="30"/>
    </row>
    <row r="192">
      <c r="B192" s="22"/>
      <c r="C192" s="22"/>
      <c r="D192" s="30"/>
    </row>
    <row r="193">
      <c r="B193" s="22"/>
      <c r="C193" s="22"/>
      <c r="D193" s="30"/>
    </row>
    <row r="194">
      <c r="B194" s="22"/>
      <c r="C194" s="22"/>
      <c r="D194" s="30"/>
    </row>
    <row r="195">
      <c r="B195" s="22"/>
      <c r="C195" s="22"/>
      <c r="D195" s="30"/>
    </row>
    <row r="196">
      <c r="B196" s="22"/>
      <c r="C196" s="22"/>
      <c r="D196" s="30"/>
    </row>
    <row r="197">
      <c r="B197" s="22"/>
      <c r="C197" s="22"/>
      <c r="D197" s="30"/>
    </row>
    <row r="198">
      <c r="B198" s="22"/>
      <c r="C198" s="22"/>
      <c r="D198" s="30"/>
    </row>
    <row r="199">
      <c r="B199" s="22"/>
      <c r="C199" s="22"/>
      <c r="D199" s="30"/>
    </row>
    <row r="200">
      <c r="B200" s="22"/>
      <c r="C200" s="22"/>
      <c r="D200" s="30"/>
    </row>
    <row r="201">
      <c r="B201" s="22"/>
      <c r="C201" s="22"/>
      <c r="D201" s="30"/>
    </row>
    <row r="202">
      <c r="B202" s="22"/>
      <c r="C202" s="22"/>
      <c r="D202" s="30"/>
    </row>
    <row r="203">
      <c r="B203" s="22"/>
      <c r="C203" s="22"/>
      <c r="D203" s="30"/>
    </row>
    <row r="204">
      <c r="B204" s="22"/>
      <c r="C204" s="22"/>
      <c r="D204" s="30"/>
    </row>
    <row r="205">
      <c r="B205" s="22"/>
      <c r="C205" s="22"/>
      <c r="D205" s="30"/>
    </row>
    <row r="206">
      <c r="B206" s="22"/>
      <c r="C206" s="22"/>
      <c r="D206" s="30"/>
    </row>
    <row r="207">
      <c r="B207" s="22"/>
      <c r="C207" s="22"/>
      <c r="D207" s="30"/>
    </row>
    <row r="208">
      <c r="B208" s="22"/>
      <c r="C208" s="22"/>
      <c r="D208" s="30"/>
    </row>
    <row r="209">
      <c r="B209" s="22"/>
      <c r="C209" s="22"/>
      <c r="D209" s="30"/>
    </row>
    <row r="210">
      <c r="B210" s="22"/>
      <c r="C210" s="22"/>
      <c r="D210" s="30"/>
    </row>
    <row r="211">
      <c r="B211" s="22"/>
      <c r="C211" s="22"/>
      <c r="D211" s="30"/>
    </row>
    <row r="212">
      <c r="B212" s="22"/>
      <c r="C212" s="22"/>
      <c r="D212" s="30"/>
    </row>
    <row r="213">
      <c r="B213" s="22"/>
      <c r="C213" s="22"/>
      <c r="D213" s="30"/>
    </row>
    <row r="214">
      <c r="B214" s="22"/>
      <c r="C214" s="22"/>
      <c r="D214" s="30"/>
    </row>
    <row r="215">
      <c r="B215" s="22"/>
      <c r="C215" s="22"/>
      <c r="D215" s="30"/>
    </row>
    <row r="216">
      <c r="B216" s="22"/>
      <c r="C216" s="22"/>
      <c r="D216" s="30"/>
    </row>
    <row r="217">
      <c r="B217" s="22"/>
      <c r="C217" s="22"/>
      <c r="D217" s="30"/>
    </row>
    <row r="218">
      <c r="B218" s="22"/>
      <c r="C218" s="22"/>
      <c r="D218" s="30"/>
    </row>
    <row r="219">
      <c r="B219" s="22"/>
      <c r="C219" s="22"/>
      <c r="D219" s="30"/>
    </row>
    <row r="220">
      <c r="B220" s="22"/>
      <c r="C220" s="22"/>
      <c r="D220" s="30"/>
    </row>
    <row r="221">
      <c r="B221" s="22"/>
      <c r="C221" s="22"/>
      <c r="D221" s="30"/>
    </row>
    <row r="222">
      <c r="B222" s="22"/>
      <c r="C222" s="22"/>
      <c r="D222" s="30"/>
    </row>
    <row r="223">
      <c r="B223" s="22"/>
      <c r="C223" s="22"/>
      <c r="D223" s="30"/>
    </row>
    <row r="224">
      <c r="B224" s="22"/>
      <c r="C224" s="22"/>
      <c r="D224" s="30"/>
    </row>
    <row r="225">
      <c r="B225" s="22"/>
      <c r="C225" s="22"/>
      <c r="D225" s="30"/>
    </row>
    <row r="226">
      <c r="B226" s="22"/>
      <c r="C226" s="22"/>
      <c r="D226" s="30"/>
    </row>
    <row r="227">
      <c r="B227" s="22"/>
      <c r="C227" s="22"/>
      <c r="D227" s="30"/>
    </row>
    <row r="228">
      <c r="B228" s="22"/>
      <c r="C228" s="22"/>
      <c r="D228" s="30"/>
    </row>
    <row r="229">
      <c r="B229" s="22"/>
      <c r="C229" s="22"/>
      <c r="D229" s="30"/>
    </row>
    <row r="230">
      <c r="B230" s="22"/>
      <c r="C230" s="22"/>
      <c r="D230" s="30"/>
    </row>
    <row r="231">
      <c r="B231" s="22"/>
      <c r="C231" s="22"/>
      <c r="D231" s="30"/>
    </row>
    <row r="232">
      <c r="B232" s="22"/>
      <c r="C232" s="22"/>
      <c r="D232" s="30"/>
    </row>
    <row r="233">
      <c r="B233" s="22"/>
      <c r="C233" s="22"/>
      <c r="D233" s="30"/>
    </row>
    <row r="234">
      <c r="B234" s="22"/>
      <c r="C234" s="22"/>
      <c r="D234" s="30"/>
    </row>
    <row r="235">
      <c r="B235" s="22"/>
      <c r="C235" s="22"/>
      <c r="D235" s="30"/>
    </row>
    <row r="236">
      <c r="B236" s="22"/>
      <c r="C236" s="22"/>
      <c r="D236" s="30"/>
    </row>
    <row r="237">
      <c r="B237" s="22"/>
      <c r="C237" s="22"/>
      <c r="D237" s="30"/>
    </row>
    <row r="238">
      <c r="B238" s="22"/>
      <c r="C238" s="22"/>
      <c r="D238" s="30"/>
    </row>
    <row r="239">
      <c r="B239" s="22"/>
      <c r="C239" s="22"/>
      <c r="D239" s="30"/>
    </row>
    <row r="240">
      <c r="B240" s="22"/>
      <c r="C240" s="22"/>
      <c r="D240" s="30"/>
    </row>
    <row r="241">
      <c r="B241" s="22"/>
      <c r="C241" s="22"/>
      <c r="D241" s="30"/>
    </row>
    <row r="242">
      <c r="B242" s="22"/>
      <c r="C242" s="22"/>
      <c r="D242" s="30"/>
    </row>
    <row r="243">
      <c r="B243" s="22"/>
      <c r="C243" s="22"/>
      <c r="D243" s="30"/>
    </row>
    <row r="244">
      <c r="B244" s="22"/>
      <c r="C244" s="22"/>
      <c r="D244" s="30"/>
    </row>
    <row r="245">
      <c r="B245" s="22"/>
      <c r="C245" s="22"/>
      <c r="D245" s="30"/>
    </row>
    <row r="246">
      <c r="B246" s="22"/>
      <c r="C246" s="22"/>
      <c r="D246" s="30"/>
    </row>
    <row r="247">
      <c r="B247" s="22"/>
      <c r="C247" s="22"/>
      <c r="D247" s="30"/>
    </row>
    <row r="248">
      <c r="B248" s="22"/>
      <c r="C248" s="22"/>
      <c r="D248" s="30"/>
    </row>
    <row r="249">
      <c r="B249" s="22"/>
      <c r="C249" s="22"/>
      <c r="D249" s="30"/>
    </row>
    <row r="250">
      <c r="B250" s="22"/>
      <c r="C250" s="22"/>
      <c r="D250" s="30"/>
    </row>
    <row r="251">
      <c r="B251" s="22"/>
      <c r="C251" s="22"/>
      <c r="D251" s="30"/>
    </row>
    <row r="252">
      <c r="B252" s="22"/>
      <c r="C252" s="22"/>
      <c r="D252" s="30"/>
    </row>
    <row r="253">
      <c r="B253" s="22"/>
      <c r="C253" s="22"/>
      <c r="D253" s="30"/>
    </row>
    <row r="254">
      <c r="B254" s="22"/>
      <c r="C254" s="22"/>
      <c r="D254" s="30"/>
    </row>
    <row r="255">
      <c r="B255" s="22"/>
      <c r="C255" s="22"/>
      <c r="D255" s="30"/>
    </row>
    <row r="256">
      <c r="B256" s="22"/>
      <c r="C256" s="22"/>
      <c r="D256" s="30"/>
    </row>
    <row r="257">
      <c r="B257" s="22"/>
      <c r="C257" s="22"/>
      <c r="D257" s="30"/>
    </row>
    <row r="258">
      <c r="B258" s="22"/>
      <c r="C258" s="22"/>
      <c r="D258" s="30"/>
    </row>
    <row r="259">
      <c r="B259" s="22"/>
      <c r="C259" s="22"/>
      <c r="D259" s="30"/>
    </row>
    <row r="260">
      <c r="B260" s="22"/>
      <c r="C260" s="22"/>
      <c r="D260" s="30"/>
    </row>
    <row r="261">
      <c r="B261" s="22"/>
      <c r="C261" s="22"/>
      <c r="D261" s="30"/>
    </row>
    <row r="262">
      <c r="B262" s="22"/>
      <c r="C262" s="22"/>
      <c r="D262" s="30"/>
    </row>
    <row r="263">
      <c r="B263" s="22"/>
      <c r="C263" s="22"/>
      <c r="D263" s="30"/>
    </row>
    <row r="264">
      <c r="B264" s="22"/>
      <c r="C264" s="22"/>
      <c r="D264" s="30"/>
    </row>
    <row r="265">
      <c r="B265" s="22"/>
      <c r="C265" s="22"/>
      <c r="D265" s="30"/>
    </row>
    <row r="266">
      <c r="B266" s="22"/>
      <c r="C266" s="22"/>
      <c r="D266" s="30"/>
    </row>
    <row r="267">
      <c r="B267" s="22"/>
      <c r="C267" s="22"/>
      <c r="D267" s="30"/>
    </row>
    <row r="268">
      <c r="B268" s="22"/>
      <c r="C268" s="22"/>
      <c r="D268" s="30"/>
    </row>
    <row r="269">
      <c r="B269" s="22"/>
      <c r="C269" s="22"/>
      <c r="D269" s="30"/>
    </row>
    <row r="270">
      <c r="B270" s="22"/>
      <c r="C270" s="22"/>
      <c r="D270" s="30"/>
    </row>
    <row r="271">
      <c r="B271" s="22"/>
      <c r="C271" s="22"/>
      <c r="D271" s="30"/>
    </row>
    <row r="272">
      <c r="B272" s="22"/>
      <c r="C272" s="22"/>
      <c r="D272" s="30"/>
    </row>
    <row r="273">
      <c r="B273" s="22"/>
      <c r="C273" s="22"/>
      <c r="D273" s="30"/>
    </row>
    <row r="274">
      <c r="B274" s="22"/>
      <c r="C274" s="22"/>
      <c r="D274" s="30"/>
    </row>
    <row r="275">
      <c r="B275" s="22"/>
      <c r="C275" s="22"/>
      <c r="D275" s="30"/>
    </row>
    <row r="276">
      <c r="B276" s="22"/>
      <c r="C276" s="22"/>
      <c r="D276" s="30"/>
    </row>
    <row r="277">
      <c r="B277" s="22"/>
      <c r="C277" s="22"/>
      <c r="D277" s="30"/>
    </row>
    <row r="278">
      <c r="B278" s="22"/>
      <c r="C278" s="22"/>
      <c r="D278" s="30"/>
    </row>
    <row r="279">
      <c r="B279" s="22"/>
      <c r="C279" s="22"/>
      <c r="D279" s="30"/>
    </row>
    <row r="280">
      <c r="B280" s="22"/>
      <c r="C280" s="22"/>
      <c r="D280" s="30"/>
    </row>
    <row r="281">
      <c r="B281" s="22"/>
      <c r="C281" s="22"/>
      <c r="D281" s="30"/>
    </row>
    <row r="282">
      <c r="B282" s="22"/>
      <c r="C282" s="22"/>
      <c r="D282" s="30"/>
    </row>
    <row r="283">
      <c r="B283" s="22"/>
      <c r="C283" s="22"/>
      <c r="D283" s="30"/>
    </row>
    <row r="284">
      <c r="B284" s="22"/>
      <c r="C284" s="22"/>
      <c r="D284" s="30"/>
    </row>
    <row r="285">
      <c r="B285" s="22"/>
      <c r="C285" s="22"/>
      <c r="D285" s="30"/>
    </row>
    <row r="286">
      <c r="B286" s="22"/>
      <c r="C286" s="22"/>
      <c r="D286" s="30"/>
    </row>
    <row r="287">
      <c r="B287" s="22"/>
      <c r="C287" s="22"/>
      <c r="D287" s="30"/>
    </row>
    <row r="288">
      <c r="B288" s="22"/>
      <c r="C288" s="22"/>
      <c r="D288" s="30"/>
    </row>
    <row r="289">
      <c r="B289" s="22"/>
      <c r="C289" s="22"/>
      <c r="D289" s="30"/>
    </row>
    <row r="290">
      <c r="B290" s="22"/>
      <c r="C290" s="22"/>
      <c r="D290" s="30"/>
    </row>
    <row r="291">
      <c r="B291" s="22"/>
      <c r="C291" s="22"/>
      <c r="D291" s="30"/>
    </row>
    <row r="292">
      <c r="B292" s="22"/>
      <c r="C292" s="22"/>
      <c r="D292" s="30"/>
    </row>
    <row r="293">
      <c r="B293" s="22"/>
      <c r="C293" s="22"/>
      <c r="D293" s="30"/>
    </row>
    <row r="294">
      <c r="B294" s="22"/>
      <c r="C294" s="22"/>
      <c r="D294" s="30"/>
    </row>
    <row r="295">
      <c r="B295" s="22"/>
      <c r="C295" s="22"/>
      <c r="D295" s="30"/>
    </row>
    <row r="296">
      <c r="B296" s="22"/>
      <c r="C296" s="22"/>
      <c r="D296" s="30"/>
    </row>
    <row r="297">
      <c r="B297" s="22"/>
      <c r="C297" s="22"/>
      <c r="D297" s="30"/>
    </row>
    <row r="298">
      <c r="B298" s="22"/>
      <c r="C298" s="22"/>
      <c r="D298" s="30"/>
    </row>
    <row r="299">
      <c r="B299" s="22"/>
      <c r="C299" s="22"/>
      <c r="D299" s="30"/>
    </row>
    <row r="300">
      <c r="B300" s="22"/>
      <c r="C300" s="22"/>
      <c r="D300" s="30"/>
    </row>
    <row r="301">
      <c r="B301" s="22"/>
      <c r="C301" s="22"/>
      <c r="D301" s="30"/>
    </row>
    <row r="302">
      <c r="B302" s="22"/>
      <c r="C302" s="22"/>
      <c r="D302" s="30"/>
    </row>
    <row r="303">
      <c r="B303" s="22"/>
      <c r="C303" s="22"/>
      <c r="D303" s="30"/>
    </row>
    <row r="304">
      <c r="B304" s="22"/>
      <c r="C304" s="22"/>
      <c r="D304" s="30"/>
    </row>
    <row r="305">
      <c r="B305" s="22"/>
      <c r="C305" s="22"/>
      <c r="D305" s="30"/>
    </row>
    <row r="306">
      <c r="B306" s="22"/>
      <c r="C306" s="22"/>
      <c r="D306" s="30"/>
    </row>
    <row r="307">
      <c r="B307" s="22"/>
      <c r="C307" s="22"/>
      <c r="D307" s="30"/>
    </row>
    <row r="308">
      <c r="B308" s="22"/>
      <c r="C308" s="22"/>
      <c r="D308" s="30"/>
    </row>
    <row r="309">
      <c r="B309" s="22"/>
      <c r="C309" s="22"/>
      <c r="D309" s="30"/>
    </row>
    <row r="310">
      <c r="B310" s="22"/>
      <c r="C310" s="22"/>
      <c r="D310" s="30"/>
    </row>
    <row r="311">
      <c r="B311" s="22"/>
      <c r="C311" s="22"/>
      <c r="D311" s="30"/>
    </row>
    <row r="312">
      <c r="B312" s="22"/>
      <c r="C312" s="22"/>
      <c r="D312" s="30"/>
    </row>
    <row r="313">
      <c r="B313" s="22"/>
      <c r="C313" s="22"/>
      <c r="D313" s="30"/>
    </row>
    <row r="314">
      <c r="B314" s="22"/>
      <c r="C314" s="22"/>
      <c r="D314" s="30"/>
    </row>
    <row r="315">
      <c r="B315" s="22"/>
      <c r="C315" s="22"/>
      <c r="D315" s="30"/>
    </row>
    <row r="316">
      <c r="B316" s="22"/>
      <c r="C316" s="22"/>
      <c r="D316" s="30"/>
    </row>
    <row r="317">
      <c r="B317" s="22"/>
      <c r="C317" s="22"/>
      <c r="D317" s="30"/>
    </row>
    <row r="318">
      <c r="B318" s="22"/>
      <c r="C318" s="22"/>
      <c r="D318" s="30"/>
    </row>
    <row r="319">
      <c r="B319" s="22"/>
      <c r="C319" s="22"/>
      <c r="D319" s="30"/>
    </row>
    <row r="320">
      <c r="B320" s="22"/>
      <c r="C320" s="22"/>
      <c r="D320" s="30"/>
    </row>
    <row r="321">
      <c r="B321" s="22"/>
      <c r="C321" s="22"/>
      <c r="D321" s="30"/>
    </row>
    <row r="322">
      <c r="B322" s="22"/>
      <c r="C322" s="22"/>
      <c r="D322" s="30"/>
    </row>
    <row r="323">
      <c r="B323" s="22"/>
      <c r="C323" s="22"/>
      <c r="D323" s="30"/>
    </row>
    <row r="324">
      <c r="B324" s="22"/>
      <c r="C324" s="22"/>
      <c r="D324" s="30"/>
    </row>
    <row r="325">
      <c r="B325" s="22"/>
      <c r="C325" s="22"/>
      <c r="D325" s="30"/>
    </row>
    <row r="326">
      <c r="B326" s="22"/>
      <c r="C326" s="22"/>
      <c r="D326" s="30"/>
    </row>
    <row r="327">
      <c r="B327" s="22"/>
      <c r="C327" s="22"/>
      <c r="D327" s="30"/>
    </row>
    <row r="328">
      <c r="B328" s="22"/>
      <c r="C328" s="22"/>
      <c r="D328" s="30"/>
    </row>
    <row r="329">
      <c r="B329" s="22"/>
      <c r="C329" s="22"/>
      <c r="D329" s="30"/>
    </row>
    <row r="330">
      <c r="B330" s="22"/>
      <c r="C330" s="22"/>
      <c r="D330" s="30"/>
    </row>
    <row r="331">
      <c r="B331" s="22"/>
      <c r="C331" s="22"/>
      <c r="D331" s="30"/>
    </row>
    <row r="332">
      <c r="B332" s="22"/>
      <c r="C332" s="22"/>
      <c r="D332" s="30"/>
    </row>
    <row r="333">
      <c r="B333" s="22"/>
      <c r="C333" s="22"/>
      <c r="D333" s="30"/>
    </row>
    <row r="334">
      <c r="B334" s="22"/>
      <c r="C334" s="22"/>
      <c r="D334" s="30"/>
    </row>
    <row r="335">
      <c r="B335" s="22"/>
      <c r="C335" s="22"/>
      <c r="D335" s="30"/>
    </row>
    <row r="336">
      <c r="B336" s="22"/>
      <c r="C336" s="22"/>
      <c r="D336" s="30"/>
    </row>
    <row r="337">
      <c r="B337" s="22"/>
      <c r="C337" s="22"/>
      <c r="D337" s="30"/>
    </row>
    <row r="338">
      <c r="B338" s="22"/>
      <c r="C338" s="22"/>
      <c r="D338" s="30"/>
    </row>
    <row r="339">
      <c r="B339" s="22"/>
      <c r="C339" s="22"/>
      <c r="D339" s="30"/>
    </row>
    <row r="340">
      <c r="B340" s="22"/>
      <c r="C340" s="22"/>
      <c r="D340" s="30"/>
    </row>
    <row r="341">
      <c r="B341" s="22"/>
      <c r="C341" s="22"/>
      <c r="D341" s="30"/>
    </row>
    <row r="342">
      <c r="B342" s="22"/>
      <c r="C342" s="22"/>
      <c r="D342" s="30"/>
    </row>
    <row r="343">
      <c r="B343" s="22"/>
      <c r="C343" s="22"/>
      <c r="D343" s="30"/>
    </row>
    <row r="344">
      <c r="B344" s="22"/>
      <c r="C344" s="22"/>
      <c r="D344" s="30"/>
    </row>
    <row r="345">
      <c r="B345" s="22"/>
      <c r="C345" s="22"/>
      <c r="D345" s="30"/>
    </row>
    <row r="346">
      <c r="B346" s="22"/>
      <c r="C346" s="22"/>
      <c r="D346" s="30"/>
    </row>
    <row r="347">
      <c r="B347" s="22"/>
      <c r="C347" s="22"/>
      <c r="D347" s="30"/>
    </row>
    <row r="348">
      <c r="B348" s="22"/>
      <c r="C348" s="22"/>
      <c r="D348" s="30"/>
    </row>
    <row r="349">
      <c r="B349" s="22"/>
      <c r="C349" s="22"/>
      <c r="D349" s="30"/>
    </row>
    <row r="350">
      <c r="B350" s="22"/>
      <c r="C350" s="22"/>
      <c r="D350" s="30"/>
    </row>
    <row r="351">
      <c r="B351" s="22"/>
      <c r="C351" s="22"/>
      <c r="D351" s="30"/>
    </row>
    <row r="352">
      <c r="B352" s="22"/>
      <c r="C352" s="22"/>
      <c r="D352" s="30"/>
    </row>
    <row r="353">
      <c r="B353" s="22"/>
      <c r="C353" s="22"/>
      <c r="D353" s="30"/>
    </row>
    <row r="354">
      <c r="B354" s="22"/>
      <c r="C354" s="22"/>
      <c r="D354" s="30"/>
    </row>
    <row r="355">
      <c r="B355" s="22"/>
      <c r="C355" s="22"/>
      <c r="D355" s="30"/>
    </row>
    <row r="356">
      <c r="B356" s="22"/>
      <c r="C356" s="22"/>
      <c r="D356" s="30"/>
    </row>
    <row r="357">
      <c r="B357" s="22"/>
      <c r="C357" s="22"/>
      <c r="D357" s="30"/>
    </row>
    <row r="358">
      <c r="B358" s="22"/>
      <c r="C358" s="22"/>
      <c r="D358" s="30"/>
    </row>
    <row r="359">
      <c r="B359" s="22"/>
      <c r="C359" s="22"/>
      <c r="D359" s="30"/>
    </row>
    <row r="360">
      <c r="B360" s="22"/>
      <c r="C360" s="22"/>
      <c r="D360" s="30"/>
    </row>
    <row r="361">
      <c r="B361" s="22"/>
      <c r="C361" s="22"/>
      <c r="D361" s="30"/>
    </row>
    <row r="362">
      <c r="B362" s="22"/>
      <c r="C362" s="22"/>
      <c r="D362" s="30"/>
    </row>
    <row r="363">
      <c r="B363" s="22"/>
      <c r="C363" s="22"/>
      <c r="D363" s="30"/>
    </row>
    <row r="364">
      <c r="B364" s="22"/>
      <c r="C364" s="22"/>
      <c r="D364" s="30"/>
    </row>
    <row r="365">
      <c r="B365" s="22"/>
      <c r="C365" s="22"/>
      <c r="D365" s="30"/>
    </row>
    <row r="366">
      <c r="B366" s="22"/>
      <c r="C366" s="22"/>
      <c r="D366" s="30"/>
    </row>
    <row r="367">
      <c r="B367" s="22"/>
      <c r="C367" s="22"/>
      <c r="D367" s="30"/>
    </row>
    <row r="368">
      <c r="B368" s="22"/>
      <c r="C368" s="22"/>
      <c r="D368" s="30"/>
    </row>
    <row r="369">
      <c r="B369" s="22"/>
      <c r="C369" s="22"/>
      <c r="D369" s="30"/>
    </row>
    <row r="370">
      <c r="B370" s="22"/>
      <c r="C370" s="22"/>
      <c r="D370" s="30"/>
    </row>
    <row r="371">
      <c r="B371" s="22"/>
      <c r="C371" s="22"/>
      <c r="D371" s="30"/>
    </row>
    <row r="372">
      <c r="B372" s="22"/>
      <c r="C372" s="22"/>
      <c r="D372" s="30"/>
    </row>
    <row r="373">
      <c r="B373" s="22"/>
      <c r="C373" s="22"/>
      <c r="D373" s="30"/>
    </row>
    <row r="374">
      <c r="B374" s="22"/>
      <c r="C374" s="22"/>
      <c r="D374" s="30"/>
    </row>
    <row r="375">
      <c r="B375" s="22"/>
      <c r="C375" s="22"/>
      <c r="D375" s="30"/>
    </row>
    <row r="376">
      <c r="B376" s="22"/>
      <c r="C376" s="22"/>
      <c r="D376" s="30"/>
    </row>
    <row r="377">
      <c r="B377" s="22"/>
      <c r="C377" s="22"/>
      <c r="D377" s="30"/>
    </row>
    <row r="378">
      <c r="B378" s="22"/>
      <c r="C378" s="22"/>
      <c r="D378" s="30"/>
    </row>
    <row r="379">
      <c r="B379" s="22"/>
      <c r="C379" s="22"/>
      <c r="D379" s="30"/>
    </row>
    <row r="380">
      <c r="B380" s="22"/>
      <c r="C380" s="22"/>
      <c r="D380" s="30"/>
    </row>
    <row r="381">
      <c r="B381" s="22"/>
      <c r="C381" s="22"/>
      <c r="D381" s="30"/>
    </row>
    <row r="382">
      <c r="B382" s="22"/>
      <c r="C382" s="22"/>
      <c r="D382" s="30"/>
    </row>
    <row r="383">
      <c r="B383" s="22"/>
      <c r="C383" s="22"/>
      <c r="D383" s="30"/>
    </row>
    <row r="384">
      <c r="B384" s="22"/>
      <c r="C384" s="22"/>
      <c r="D384" s="30"/>
    </row>
    <row r="385">
      <c r="B385" s="22"/>
      <c r="C385" s="22"/>
      <c r="D385" s="30"/>
    </row>
    <row r="386">
      <c r="B386" s="22"/>
      <c r="C386" s="22"/>
      <c r="D386" s="30"/>
    </row>
    <row r="387">
      <c r="B387" s="22"/>
      <c r="C387" s="22"/>
      <c r="D387" s="30"/>
    </row>
    <row r="388">
      <c r="B388" s="22"/>
      <c r="C388" s="22"/>
      <c r="D388" s="30"/>
    </row>
    <row r="389">
      <c r="B389" s="22"/>
      <c r="C389" s="22"/>
      <c r="D389" s="30"/>
    </row>
    <row r="390">
      <c r="B390" s="22"/>
      <c r="C390" s="22"/>
      <c r="D390" s="30"/>
    </row>
    <row r="391">
      <c r="B391" s="22"/>
      <c r="C391" s="22"/>
      <c r="D391" s="30"/>
    </row>
    <row r="392">
      <c r="B392" s="22"/>
      <c r="C392" s="22"/>
      <c r="D392" s="30"/>
    </row>
    <row r="393">
      <c r="B393" s="22"/>
      <c r="C393" s="22"/>
      <c r="D393" s="30"/>
    </row>
    <row r="394">
      <c r="B394" s="22"/>
      <c r="C394" s="22"/>
      <c r="D394" s="30"/>
    </row>
    <row r="395">
      <c r="B395" s="22"/>
      <c r="C395" s="22"/>
      <c r="D395" s="30"/>
    </row>
    <row r="396">
      <c r="B396" s="22"/>
      <c r="C396" s="22"/>
      <c r="D396" s="30"/>
    </row>
    <row r="397">
      <c r="B397" s="22"/>
      <c r="C397" s="22"/>
      <c r="D397" s="30"/>
    </row>
    <row r="398">
      <c r="B398" s="22"/>
      <c r="C398" s="22"/>
      <c r="D398" s="30"/>
    </row>
    <row r="399">
      <c r="B399" s="22"/>
      <c r="C399" s="22"/>
      <c r="D399" s="30"/>
    </row>
    <row r="400">
      <c r="B400" s="22"/>
      <c r="C400" s="22"/>
      <c r="D400" s="30"/>
    </row>
    <row r="401">
      <c r="B401" s="22"/>
      <c r="C401" s="22"/>
      <c r="D401" s="30"/>
    </row>
    <row r="402">
      <c r="B402" s="22"/>
      <c r="C402" s="22"/>
      <c r="D402" s="30"/>
    </row>
    <row r="403">
      <c r="B403" s="22"/>
      <c r="C403" s="22"/>
      <c r="D403" s="30"/>
    </row>
    <row r="404">
      <c r="B404" s="22"/>
      <c r="C404" s="22"/>
      <c r="D404" s="30"/>
    </row>
    <row r="405">
      <c r="B405" s="22"/>
      <c r="C405" s="22"/>
      <c r="D405" s="30"/>
    </row>
    <row r="406">
      <c r="B406" s="22"/>
      <c r="C406" s="22"/>
      <c r="D406" s="30"/>
    </row>
    <row r="407">
      <c r="B407" s="22"/>
      <c r="C407" s="22"/>
      <c r="D407" s="30"/>
    </row>
    <row r="408">
      <c r="B408" s="22"/>
      <c r="C408" s="22"/>
      <c r="D408" s="30"/>
    </row>
    <row r="409">
      <c r="B409" s="22"/>
      <c r="C409" s="22"/>
      <c r="D409" s="30"/>
    </row>
    <row r="410">
      <c r="B410" s="22"/>
      <c r="C410" s="22"/>
      <c r="D410" s="30"/>
    </row>
    <row r="411">
      <c r="B411" s="22"/>
      <c r="C411" s="22"/>
      <c r="D411" s="30"/>
    </row>
    <row r="412">
      <c r="B412" s="22"/>
      <c r="C412" s="22"/>
      <c r="D412" s="30"/>
    </row>
    <row r="413">
      <c r="B413" s="22"/>
      <c r="C413" s="22"/>
      <c r="D413" s="30"/>
    </row>
    <row r="414">
      <c r="B414" s="22"/>
      <c r="C414" s="22"/>
      <c r="D414" s="30"/>
    </row>
    <row r="415">
      <c r="B415" s="22"/>
      <c r="C415" s="22"/>
      <c r="D415" s="30"/>
    </row>
    <row r="416">
      <c r="B416" s="22"/>
      <c r="C416" s="22"/>
      <c r="D416" s="30"/>
    </row>
    <row r="417">
      <c r="B417" s="22"/>
      <c r="C417" s="22"/>
      <c r="D417" s="30"/>
    </row>
    <row r="418">
      <c r="B418" s="22"/>
      <c r="C418" s="22"/>
      <c r="D418" s="30"/>
    </row>
    <row r="419">
      <c r="B419" s="22"/>
      <c r="C419" s="22"/>
      <c r="D419" s="30"/>
    </row>
    <row r="420">
      <c r="B420" s="22"/>
      <c r="C420" s="22"/>
      <c r="D420" s="30"/>
    </row>
    <row r="421">
      <c r="B421" s="22"/>
      <c r="C421" s="22"/>
      <c r="D421" s="30"/>
    </row>
    <row r="422">
      <c r="B422" s="22"/>
      <c r="C422" s="22"/>
      <c r="D422" s="30"/>
    </row>
    <row r="423">
      <c r="B423" s="22"/>
      <c r="C423" s="22"/>
      <c r="D423" s="30"/>
    </row>
    <row r="424">
      <c r="B424" s="22"/>
      <c r="C424" s="22"/>
      <c r="D424" s="30"/>
    </row>
    <row r="425">
      <c r="B425" s="22"/>
      <c r="C425" s="22"/>
      <c r="D425" s="30"/>
    </row>
    <row r="426">
      <c r="B426" s="22"/>
      <c r="C426" s="22"/>
      <c r="D426" s="30"/>
    </row>
    <row r="427">
      <c r="B427" s="22"/>
      <c r="C427" s="22"/>
      <c r="D427" s="30"/>
    </row>
    <row r="428">
      <c r="B428" s="22"/>
      <c r="C428" s="22"/>
      <c r="D428" s="30"/>
    </row>
    <row r="429">
      <c r="B429" s="22"/>
      <c r="C429" s="22"/>
      <c r="D429" s="30"/>
    </row>
    <row r="430">
      <c r="B430" s="22"/>
      <c r="C430" s="22"/>
      <c r="D430" s="30"/>
    </row>
    <row r="431">
      <c r="B431" s="22"/>
      <c r="C431" s="22"/>
      <c r="D431" s="30"/>
    </row>
    <row r="432">
      <c r="B432" s="22"/>
      <c r="C432" s="22"/>
      <c r="D432" s="30"/>
    </row>
    <row r="433">
      <c r="B433" s="22"/>
      <c r="C433" s="22"/>
      <c r="D433" s="30"/>
    </row>
    <row r="434">
      <c r="B434" s="22"/>
      <c r="C434" s="22"/>
      <c r="D434" s="30"/>
    </row>
    <row r="435">
      <c r="B435" s="22"/>
      <c r="C435" s="22"/>
      <c r="D435" s="30"/>
    </row>
    <row r="436">
      <c r="B436" s="22"/>
      <c r="C436" s="22"/>
      <c r="D436" s="30"/>
    </row>
    <row r="437">
      <c r="B437" s="22"/>
      <c r="C437" s="22"/>
      <c r="D437" s="30"/>
    </row>
    <row r="438">
      <c r="B438" s="22"/>
      <c r="C438" s="22"/>
      <c r="D438" s="30"/>
    </row>
    <row r="439">
      <c r="B439" s="22"/>
      <c r="C439" s="22"/>
      <c r="D439" s="30"/>
    </row>
    <row r="440">
      <c r="B440" s="22"/>
      <c r="C440" s="22"/>
      <c r="D440" s="30"/>
    </row>
    <row r="441">
      <c r="B441" s="22"/>
      <c r="C441" s="22"/>
      <c r="D441" s="30"/>
    </row>
    <row r="442">
      <c r="B442" s="22"/>
      <c r="C442" s="22"/>
      <c r="D442" s="30"/>
    </row>
    <row r="443">
      <c r="B443" s="22"/>
      <c r="C443" s="22"/>
      <c r="D443" s="30"/>
    </row>
    <row r="444">
      <c r="B444" s="22"/>
      <c r="C444" s="22"/>
      <c r="D444" s="30"/>
    </row>
    <row r="445">
      <c r="B445" s="22"/>
      <c r="C445" s="22"/>
      <c r="D445" s="30"/>
    </row>
    <row r="446">
      <c r="B446" s="22"/>
      <c r="C446" s="22"/>
      <c r="D446" s="30"/>
    </row>
    <row r="447">
      <c r="B447" s="22"/>
      <c r="C447" s="22"/>
      <c r="D447" s="30"/>
    </row>
    <row r="448">
      <c r="B448" s="22"/>
      <c r="C448" s="22"/>
      <c r="D448" s="30"/>
    </row>
    <row r="449">
      <c r="B449" s="22"/>
      <c r="C449" s="22"/>
      <c r="D449" s="30"/>
    </row>
    <row r="450">
      <c r="B450" s="22"/>
      <c r="C450" s="22"/>
      <c r="D450" s="30"/>
    </row>
    <row r="451">
      <c r="B451" s="22"/>
      <c r="C451" s="22"/>
      <c r="D451" s="30"/>
    </row>
    <row r="452">
      <c r="B452" s="22"/>
      <c r="C452" s="22"/>
      <c r="D452" s="30"/>
    </row>
    <row r="453">
      <c r="B453" s="22"/>
      <c r="C453" s="22"/>
      <c r="D453" s="30"/>
    </row>
    <row r="454">
      <c r="B454" s="22"/>
      <c r="C454" s="22"/>
      <c r="D454" s="30"/>
    </row>
    <row r="455">
      <c r="B455" s="22"/>
      <c r="C455" s="22"/>
      <c r="D455" s="30"/>
    </row>
    <row r="456">
      <c r="B456" s="22"/>
      <c r="C456" s="22"/>
      <c r="D456" s="30"/>
    </row>
    <row r="457">
      <c r="B457" s="22"/>
      <c r="C457" s="22"/>
      <c r="D457" s="30"/>
    </row>
    <row r="458">
      <c r="B458" s="22"/>
      <c r="C458" s="22"/>
      <c r="D458" s="30"/>
    </row>
    <row r="459">
      <c r="B459" s="22"/>
      <c r="C459" s="22"/>
      <c r="D459" s="30"/>
    </row>
    <row r="460">
      <c r="B460" s="22"/>
      <c r="C460" s="22"/>
      <c r="D460" s="30"/>
    </row>
    <row r="461">
      <c r="B461" s="22"/>
      <c r="C461" s="22"/>
      <c r="D461" s="30"/>
    </row>
    <row r="462">
      <c r="B462" s="22"/>
      <c r="C462" s="22"/>
      <c r="D462" s="30"/>
    </row>
    <row r="463">
      <c r="B463" s="22"/>
      <c r="C463" s="22"/>
      <c r="D463" s="30"/>
    </row>
    <row r="464">
      <c r="B464" s="22"/>
      <c r="C464" s="22"/>
      <c r="D464" s="30"/>
    </row>
    <row r="465">
      <c r="B465" s="22"/>
      <c r="C465" s="22"/>
      <c r="D465" s="30"/>
    </row>
    <row r="466">
      <c r="B466" s="22"/>
      <c r="C466" s="22"/>
      <c r="D466" s="30"/>
    </row>
    <row r="467">
      <c r="B467" s="22"/>
      <c r="C467" s="22"/>
      <c r="D467" s="30"/>
    </row>
    <row r="468">
      <c r="B468" s="22"/>
      <c r="C468" s="22"/>
      <c r="D468" s="30"/>
    </row>
    <row r="469">
      <c r="B469" s="22"/>
      <c r="C469" s="22"/>
      <c r="D469" s="30"/>
    </row>
    <row r="470">
      <c r="B470" s="22"/>
      <c r="C470" s="22"/>
      <c r="D470" s="30"/>
    </row>
    <row r="471">
      <c r="B471" s="22"/>
      <c r="C471" s="22"/>
      <c r="D471" s="30"/>
    </row>
    <row r="472">
      <c r="B472" s="22"/>
      <c r="C472" s="22"/>
      <c r="D472" s="30"/>
    </row>
    <row r="473">
      <c r="B473" s="22"/>
      <c r="C473" s="22"/>
      <c r="D473" s="30"/>
    </row>
    <row r="474">
      <c r="B474" s="22"/>
      <c r="C474" s="22"/>
      <c r="D474" s="30"/>
    </row>
    <row r="475">
      <c r="B475" s="22"/>
      <c r="C475" s="22"/>
      <c r="D475" s="30"/>
    </row>
    <row r="476">
      <c r="B476" s="22"/>
      <c r="C476" s="22"/>
      <c r="D476" s="30"/>
    </row>
    <row r="477">
      <c r="B477" s="22"/>
      <c r="C477" s="22"/>
      <c r="D477" s="30"/>
    </row>
    <row r="478">
      <c r="B478" s="22"/>
      <c r="C478" s="22"/>
      <c r="D478" s="30"/>
    </row>
    <row r="479">
      <c r="B479" s="22"/>
      <c r="C479" s="22"/>
      <c r="D479" s="30"/>
    </row>
    <row r="480">
      <c r="B480" s="22"/>
      <c r="C480" s="22"/>
      <c r="D480" s="30"/>
    </row>
    <row r="481">
      <c r="B481" s="22"/>
      <c r="C481" s="22"/>
      <c r="D481" s="30"/>
    </row>
    <row r="482">
      <c r="B482" s="22"/>
      <c r="C482" s="22"/>
      <c r="D482" s="30"/>
    </row>
    <row r="483">
      <c r="B483" s="22"/>
      <c r="C483" s="22"/>
      <c r="D483" s="30"/>
    </row>
    <row r="484">
      <c r="B484" s="22"/>
      <c r="C484" s="22"/>
      <c r="D484" s="30"/>
    </row>
    <row r="485">
      <c r="B485" s="22"/>
      <c r="C485" s="22"/>
      <c r="D485" s="30"/>
    </row>
    <row r="486">
      <c r="B486" s="22"/>
      <c r="C486" s="22"/>
      <c r="D486" s="30"/>
    </row>
    <row r="487">
      <c r="B487" s="22"/>
      <c r="C487" s="22"/>
      <c r="D487" s="30"/>
    </row>
    <row r="488">
      <c r="B488" s="22"/>
      <c r="C488" s="22"/>
      <c r="D488" s="30"/>
    </row>
    <row r="489">
      <c r="B489" s="22"/>
      <c r="C489" s="22"/>
      <c r="D489" s="30"/>
    </row>
    <row r="490">
      <c r="B490" s="22"/>
      <c r="C490" s="22"/>
      <c r="D490" s="30"/>
    </row>
    <row r="491">
      <c r="B491" s="22"/>
      <c r="C491" s="22"/>
      <c r="D491" s="30"/>
    </row>
    <row r="492">
      <c r="B492" s="22"/>
      <c r="C492" s="22"/>
      <c r="D492" s="30"/>
    </row>
    <row r="493">
      <c r="B493" s="22"/>
      <c r="C493" s="22"/>
      <c r="D493" s="30"/>
    </row>
    <row r="494">
      <c r="B494" s="22"/>
      <c r="C494" s="22"/>
      <c r="D494" s="30"/>
    </row>
    <row r="495">
      <c r="B495" s="22"/>
      <c r="C495" s="22"/>
      <c r="D495" s="30"/>
    </row>
    <row r="496">
      <c r="B496" s="22"/>
      <c r="C496" s="22"/>
      <c r="D496" s="30"/>
    </row>
    <row r="497">
      <c r="B497" s="22"/>
      <c r="C497" s="22"/>
      <c r="D497" s="30"/>
    </row>
    <row r="498">
      <c r="B498" s="22"/>
      <c r="C498" s="22"/>
      <c r="D498" s="30"/>
    </row>
    <row r="499">
      <c r="B499" s="22"/>
      <c r="C499" s="22"/>
      <c r="D499" s="30"/>
    </row>
    <row r="500">
      <c r="B500" s="22"/>
      <c r="C500" s="22"/>
      <c r="D500" s="30"/>
    </row>
    <row r="501">
      <c r="B501" s="22"/>
      <c r="C501" s="22"/>
      <c r="D501" s="30"/>
    </row>
    <row r="502">
      <c r="B502" s="22"/>
      <c r="C502" s="22"/>
      <c r="D502" s="30"/>
    </row>
    <row r="503">
      <c r="B503" s="22"/>
      <c r="C503" s="22"/>
      <c r="D503" s="30"/>
    </row>
    <row r="504">
      <c r="B504" s="22"/>
      <c r="C504" s="22"/>
      <c r="D504" s="30"/>
    </row>
    <row r="505">
      <c r="B505" s="22"/>
      <c r="C505" s="22"/>
      <c r="D505" s="30"/>
    </row>
    <row r="506">
      <c r="B506" s="22"/>
      <c r="C506" s="22"/>
      <c r="D506" s="30"/>
    </row>
    <row r="507">
      <c r="B507" s="22"/>
      <c r="C507" s="22"/>
      <c r="D507" s="30"/>
    </row>
    <row r="508">
      <c r="B508" s="22"/>
      <c r="C508" s="22"/>
      <c r="D508" s="30"/>
    </row>
    <row r="509">
      <c r="B509" s="22"/>
      <c r="C509" s="22"/>
      <c r="D509" s="30"/>
    </row>
    <row r="510">
      <c r="B510" s="22"/>
      <c r="C510" s="22"/>
      <c r="D510" s="30"/>
    </row>
    <row r="511">
      <c r="B511" s="22"/>
      <c r="C511" s="22"/>
      <c r="D511" s="30"/>
    </row>
    <row r="512">
      <c r="B512" s="22"/>
      <c r="C512" s="22"/>
      <c r="D512" s="30"/>
    </row>
    <row r="513">
      <c r="B513" s="22"/>
      <c r="C513" s="22"/>
      <c r="D513" s="30"/>
    </row>
    <row r="514">
      <c r="B514" s="22"/>
      <c r="C514" s="22"/>
      <c r="D514" s="30"/>
    </row>
    <row r="515">
      <c r="B515" s="22"/>
      <c r="C515" s="22"/>
      <c r="D515" s="30"/>
    </row>
    <row r="516">
      <c r="B516" s="22"/>
      <c r="C516" s="22"/>
      <c r="D516" s="30"/>
    </row>
    <row r="517">
      <c r="B517" s="22"/>
      <c r="C517" s="22"/>
      <c r="D517" s="30"/>
    </row>
    <row r="518">
      <c r="B518" s="22"/>
      <c r="C518" s="22"/>
      <c r="D518" s="30"/>
    </row>
    <row r="519">
      <c r="B519" s="22"/>
      <c r="C519" s="22"/>
      <c r="D519" s="30"/>
    </row>
    <row r="520">
      <c r="B520" s="22"/>
      <c r="C520" s="22"/>
      <c r="D520" s="30"/>
    </row>
    <row r="521">
      <c r="B521" s="22"/>
      <c r="C521" s="22"/>
      <c r="D521" s="30"/>
    </row>
    <row r="522">
      <c r="B522" s="22"/>
      <c r="C522" s="22"/>
      <c r="D522" s="30"/>
    </row>
    <row r="523">
      <c r="B523" s="22"/>
      <c r="C523" s="22"/>
      <c r="D523" s="30"/>
    </row>
    <row r="524">
      <c r="B524" s="22"/>
      <c r="C524" s="22"/>
      <c r="D524" s="30"/>
    </row>
    <row r="525">
      <c r="B525" s="22"/>
      <c r="C525" s="22"/>
      <c r="D525" s="30"/>
    </row>
    <row r="526">
      <c r="B526" s="22"/>
      <c r="C526" s="22"/>
      <c r="D526" s="30"/>
    </row>
    <row r="527">
      <c r="B527" s="22"/>
      <c r="C527" s="22"/>
      <c r="D527" s="30"/>
    </row>
    <row r="528">
      <c r="B528" s="22"/>
      <c r="C528" s="22"/>
      <c r="D528" s="30"/>
    </row>
    <row r="529">
      <c r="B529" s="22"/>
      <c r="C529" s="22"/>
      <c r="D529" s="30"/>
    </row>
    <row r="530">
      <c r="B530" s="22"/>
      <c r="C530" s="22"/>
      <c r="D530" s="30"/>
    </row>
    <row r="531">
      <c r="B531" s="22"/>
      <c r="C531" s="22"/>
      <c r="D531" s="30"/>
    </row>
    <row r="532">
      <c r="B532" s="22"/>
      <c r="C532" s="22"/>
      <c r="D532" s="30"/>
    </row>
    <row r="533">
      <c r="B533" s="22"/>
      <c r="C533" s="22"/>
      <c r="D533" s="30"/>
    </row>
    <row r="534">
      <c r="B534" s="22"/>
      <c r="C534" s="22"/>
      <c r="D534" s="30"/>
    </row>
    <row r="535">
      <c r="B535" s="22"/>
      <c r="C535" s="22"/>
      <c r="D535" s="30"/>
    </row>
    <row r="536">
      <c r="B536" s="22"/>
      <c r="C536" s="22"/>
      <c r="D536" s="30"/>
    </row>
    <row r="537">
      <c r="B537" s="22"/>
      <c r="C537" s="22"/>
      <c r="D537" s="30"/>
    </row>
    <row r="538">
      <c r="B538" s="22"/>
      <c r="C538" s="22"/>
      <c r="D538" s="30"/>
    </row>
    <row r="539">
      <c r="B539" s="22"/>
      <c r="C539" s="22"/>
      <c r="D539" s="30"/>
    </row>
    <row r="540">
      <c r="B540" s="22"/>
      <c r="C540" s="22"/>
      <c r="D540" s="30"/>
    </row>
    <row r="541">
      <c r="B541" s="22"/>
      <c r="C541" s="22"/>
      <c r="D541" s="30"/>
    </row>
    <row r="542">
      <c r="B542" s="22"/>
      <c r="C542" s="22"/>
      <c r="D542" s="30"/>
    </row>
    <row r="543">
      <c r="B543" s="22"/>
      <c r="C543" s="22"/>
      <c r="D543" s="30"/>
    </row>
    <row r="544">
      <c r="B544" s="22"/>
      <c r="C544" s="22"/>
      <c r="D544" s="30"/>
    </row>
    <row r="545">
      <c r="B545" s="22"/>
      <c r="C545" s="22"/>
      <c r="D545" s="30"/>
    </row>
    <row r="546">
      <c r="B546" s="22"/>
      <c r="C546" s="22"/>
      <c r="D546" s="30"/>
    </row>
    <row r="547">
      <c r="B547" s="22"/>
      <c r="C547" s="22"/>
      <c r="D547" s="30"/>
    </row>
    <row r="548">
      <c r="B548" s="22"/>
      <c r="C548" s="22"/>
      <c r="D548" s="30"/>
    </row>
    <row r="549">
      <c r="B549" s="22"/>
      <c r="C549" s="22"/>
      <c r="D549" s="30"/>
    </row>
    <row r="550">
      <c r="B550" s="22"/>
      <c r="C550" s="22"/>
      <c r="D550" s="30"/>
    </row>
    <row r="551">
      <c r="B551" s="22"/>
      <c r="C551" s="22"/>
      <c r="D551" s="30"/>
    </row>
    <row r="552">
      <c r="B552" s="22"/>
      <c r="C552" s="22"/>
      <c r="D552" s="30"/>
    </row>
    <row r="553">
      <c r="B553" s="22"/>
      <c r="C553" s="22"/>
      <c r="D553" s="30"/>
    </row>
    <row r="554">
      <c r="B554" s="22"/>
      <c r="C554" s="22"/>
      <c r="D554" s="30"/>
    </row>
    <row r="555">
      <c r="B555" s="22"/>
      <c r="C555" s="22"/>
      <c r="D555" s="30"/>
    </row>
    <row r="556">
      <c r="B556" s="22"/>
      <c r="C556" s="22"/>
      <c r="D556" s="30"/>
    </row>
    <row r="557">
      <c r="B557" s="22"/>
      <c r="C557" s="22"/>
      <c r="D557" s="30"/>
    </row>
    <row r="558">
      <c r="B558" s="22"/>
      <c r="C558" s="22"/>
      <c r="D558" s="30"/>
    </row>
    <row r="559">
      <c r="B559" s="22"/>
      <c r="C559" s="22"/>
      <c r="D559" s="30"/>
    </row>
    <row r="560">
      <c r="B560" s="22"/>
      <c r="C560" s="22"/>
      <c r="D560" s="30"/>
    </row>
    <row r="561">
      <c r="B561" s="22"/>
      <c r="C561" s="22"/>
      <c r="D561" s="30"/>
    </row>
    <row r="562">
      <c r="B562" s="22"/>
      <c r="C562" s="22"/>
      <c r="D562" s="30"/>
    </row>
    <row r="563">
      <c r="B563" s="22"/>
      <c r="C563" s="22"/>
      <c r="D563" s="30"/>
    </row>
    <row r="564">
      <c r="B564" s="22"/>
      <c r="C564" s="22"/>
      <c r="D564" s="30"/>
    </row>
    <row r="565">
      <c r="B565" s="22"/>
      <c r="C565" s="22"/>
      <c r="D565" s="30"/>
    </row>
    <row r="566">
      <c r="B566" s="22"/>
      <c r="C566" s="22"/>
      <c r="D566" s="30"/>
    </row>
    <row r="567">
      <c r="B567" s="22"/>
      <c r="C567" s="22"/>
      <c r="D567" s="30"/>
    </row>
    <row r="568">
      <c r="B568" s="22"/>
      <c r="C568" s="22"/>
      <c r="D568" s="30"/>
    </row>
    <row r="569">
      <c r="B569" s="22"/>
      <c r="C569" s="22"/>
      <c r="D569" s="30"/>
    </row>
    <row r="570">
      <c r="B570" s="22"/>
      <c r="C570" s="22"/>
      <c r="D570" s="30"/>
    </row>
    <row r="571">
      <c r="B571" s="22"/>
      <c r="C571" s="22"/>
      <c r="D571" s="30"/>
    </row>
    <row r="572">
      <c r="B572" s="22"/>
      <c r="C572" s="22"/>
      <c r="D572" s="30"/>
    </row>
    <row r="573">
      <c r="B573" s="22"/>
      <c r="C573" s="22"/>
      <c r="D573" s="30"/>
    </row>
    <row r="574">
      <c r="B574" s="22"/>
      <c r="C574" s="22"/>
      <c r="D574" s="30"/>
    </row>
    <row r="575">
      <c r="B575" s="22"/>
      <c r="C575" s="22"/>
      <c r="D575" s="30"/>
    </row>
    <row r="576">
      <c r="B576" s="22"/>
      <c r="C576" s="22"/>
      <c r="D576" s="30"/>
    </row>
    <row r="577">
      <c r="B577" s="22"/>
      <c r="C577" s="22"/>
      <c r="D577" s="30"/>
    </row>
    <row r="578">
      <c r="B578" s="22"/>
      <c r="C578" s="22"/>
      <c r="D578" s="30"/>
    </row>
    <row r="579">
      <c r="B579" s="22"/>
      <c r="C579" s="22"/>
      <c r="D579" s="30"/>
    </row>
    <row r="580">
      <c r="B580" s="22"/>
      <c r="C580" s="22"/>
      <c r="D580" s="30"/>
    </row>
    <row r="581">
      <c r="B581" s="22"/>
      <c r="C581" s="22"/>
      <c r="D581" s="30"/>
    </row>
    <row r="582">
      <c r="B582" s="22"/>
      <c r="C582" s="22"/>
      <c r="D582" s="30"/>
    </row>
    <row r="583">
      <c r="B583" s="22"/>
      <c r="C583" s="22"/>
      <c r="D583" s="30"/>
    </row>
    <row r="584">
      <c r="B584" s="22"/>
      <c r="C584" s="22"/>
      <c r="D584" s="30"/>
    </row>
    <row r="585">
      <c r="B585" s="22"/>
      <c r="C585" s="22"/>
      <c r="D585" s="30"/>
    </row>
    <row r="586">
      <c r="B586" s="22"/>
      <c r="C586" s="22"/>
      <c r="D586" s="30"/>
    </row>
    <row r="587">
      <c r="B587" s="22"/>
      <c r="C587" s="22"/>
      <c r="D587" s="30"/>
    </row>
    <row r="588">
      <c r="B588" s="22"/>
      <c r="C588" s="22"/>
      <c r="D588" s="30"/>
    </row>
    <row r="589">
      <c r="B589" s="22"/>
      <c r="C589" s="22"/>
      <c r="D589" s="30"/>
    </row>
    <row r="590">
      <c r="B590" s="22"/>
      <c r="C590" s="22"/>
      <c r="D590" s="30"/>
    </row>
    <row r="591">
      <c r="B591" s="22"/>
      <c r="C591" s="22"/>
      <c r="D591" s="30"/>
    </row>
    <row r="592">
      <c r="B592" s="22"/>
      <c r="C592" s="22"/>
      <c r="D592" s="30"/>
    </row>
    <row r="593">
      <c r="B593" s="22"/>
      <c r="C593" s="22"/>
      <c r="D593" s="30"/>
    </row>
    <row r="594">
      <c r="B594" s="22"/>
      <c r="C594" s="22"/>
      <c r="D594" s="30"/>
    </row>
    <row r="595">
      <c r="B595" s="22"/>
      <c r="C595" s="22"/>
      <c r="D595" s="30"/>
    </row>
    <row r="596">
      <c r="B596" s="22"/>
      <c r="C596" s="22"/>
      <c r="D596" s="30"/>
    </row>
    <row r="597">
      <c r="B597" s="22"/>
      <c r="C597" s="22"/>
      <c r="D597" s="30"/>
    </row>
    <row r="598">
      <c r="B598" s="22"/>
      <c r="C598" s="22"/>
      <c r="D598" s="30"/>
    </row>
    <row r="599">
      <c r="B599" s="22"/>
      <c r="C599" s="22"/>
      <c r="D599" s="30"/>
    </row>
    <row r="600">
      <c r="B600" s="22"/>
      <c r="C600" s="22"/>
      <c r="D600" s="30"/>
    </row>
    <row r="601">
      <c r="B601" s="22"/>
      <c r="C601" s="22"/>
      <c r="D601" s="30"/>
    </row>
    <row r="602">
      <c r="B602" s="22"/>
      <c r="C602" s="22"/>
      <c r="D602" s="30"/>
    </row>
    <row r="603">
      <c r="B603" s="22"/>
      <c r="C603" s="22"/>
      <c r="D603" s="30"/>
    </row>
    <row r="604">
      <c r="B604" s="22"/>
      <c r="C604" s="22"/>
      <c r="D604" s="30"/>
    </row>
    <row r="605">
      <c r="B605" s="22"/>
      <c r="C605" s="22"/>
      <c r="D605" s="30"/>
    </row>
    <row r="606">
      <c r="B606" s="22"/>
      <c r="C606" s="22"/>
      <c r="D606" s="30"/>
    </row>
    <row r="607">
      <c r="B607" s="22"/>
      <c r="C607" s="22"/>
      <c r="D607" s="30"/>
    </row>
    <row r="608">
      <c r="B608" s="22"/>
      <c r="C608" s="22"/>
      <c r="D608" s="30"/>
    </row>
    <row r="609">
      <c r="B609" s="22"/>
      <c r="C609" s="22"/>
      <c r="D609" s="30"/>
    </row>
    <row r="610">
      <c r="B610" s="22"/>
      <c r="C610" s="22"/>
      <c r="D610" s="30"/>
    </row>
    <row r="611">
      <c r="B611" s="22"/>
      <c r="C611" s="22"/>
      <c r="D611" s="30"/>
    </row>
    <row r="612">
      <c r="B612" s="22"/>
      <c r="C612" s="22"/>
      <c r="D612" s="30"/>
    </row>
    <row r="613">
      <c r="B613" s="22"/>
      <c r="C613" s="22"/>
      <c r="D613" s="30"/>
    </row>
    <row r="614">
      <c r="B614" s="22"/>
      <c r="C614" s="22"/>
      <c r="D614" s="30"/>
    </row>
    <row r="615">
      <c r="B615" s="22"/>
      <c r="C615" s="22"/>
      <c r="D615" s="30"/>
    </row>
    <row r="616">
      <c r="B616" s="22"/>
      <c r="C616" s="22"/>
      <c r="D616" s="30"/>
    </row>
    <row r="617">
      <c r="B617" s="22"/>
      <c r="C617" s="22"/>
      <c r="D617" s="30"/>
    </row>
    <row r="618">
      <c r="B618" s="22"/>
      <c r="C618" s="22"/>
      <c r="D618" s="30"/>
    </row>
    <row r="619">
      <c r="B619" s="22"/>
      <c r="C619" s="22"/>
      <c r="D619" s="30"/>
    </row>
    <row r="620">
      <c r="B620" s="22"/>
      <c r="C620" s="22"/>
      <c r="D620" s="30"/>
    </row>
    <row r="621">
      <c r="B621" s="22"/>
      <c r="C621" s="22"/>
      <c r="D621" s="30"/>
    </row>
    <row r="622">
      <c r="B622" s="22"/>
      <c r="C622" s="22"/>
      <c r="D622" s="30"/>
    </row>
    <row r="623">
      <c r="B623" s="22"/>
      <c r="C623" s="22"/>
      <c r="D623" s="30"/>
    </row>
    <row r="624">
      <c r="B624" s="22"/>
      <c r="C624" s="22"/>
      <c r="D624" s="30"/>
    </row>
    <row r="625">
      <c r="B625" s="22"/>
      <c r="C625" s="22"/>
      <c r="D625" s="30"/>
    </row>
    <row r="626">
      <c r="B626" s="22"/>
      <c r="C626" s="22"/>
      <c r="D626" s="30"/>
    </row>
    <row r="627">
      <c r="B627" s="22"/>
      <c r="C627" s="22"/>
      <c r="D627" s="30"/>
    </row>
    <row r="628">
      <c r="B628" s="22"/>
      <c r="C628" s="22"/>
      <c r="D628" s="30"/>
    </row>
    <row r="629">
      <c r="B629" s="22"/>
      <c r="C629" s="22"/>
      <c r="D629" s="30"/>
    </row>
    <row r="630">
      <c r="B630" s="22"/>
      <c r="C630" s="22"/>
      <c r="D630" s="30"/>
    </row>
    <row r="631">
      <c r="B631" s="22"/>
      <c r="C631" s="22"/>
      <c r="D631" s="30"/>
    </row>
    <row r="632">
      <c r="B632" s="22"/>
      <c r="C632" s="22"/>
      <c r="D632" s="30"/>
    </row>
    <row r="633">
      <c r="B633" s="22"/>
      <c r="C633" s="22"/>
      <c r="D633" s="30"/>
    </row>
    <row r="634">
      <c r="B634" s="22"/>
      <c r="C634" s="22"/>
      <c r="D634" s="30"/>
    </row>
    <row r="635">
      <c r="B635" s="22"/>
      <c r="C635" s="22"/>
      <c r="D635" s="30"/>
    </row>
    <row r="636">
      <c r="B636" s="22"/>
      <c r="C636" s="22"/>
      <c r="D636" s="30"/>
    </row>
    <row r="637">
      <c r="B637" s="22"/>
      <c r="C637" s="22"/>
      <c r="D637" s="30"/>
    </row>
    <row r="638">
      <c r="B638" s="22"/>
      <c r="C638" s="22"/>
      <c r="D638" s="30"/>
    </row>
    <row r="639">
      <c r="B639" s="22"/>
      <c r="C639" s="22"/>
      <c r="D639" s="30"/>
    </row>
    <row r="640">
      <c r="B640" s="22"/>
      <c r="C640" s="22"/>
      <c r="D640" s="30"/>
    </row>
    <row r="641">
      <c r="B641" s="22"/>
      <c r="C641" s="22"/>
      <c r="D641" s="30"/>
    </row>
    <row r="642">
      <c r="B642" s="22"/>
      <c r="C642" s="22"/>
      <c r="D642" s="30"/>
    </row>
    <row r="643">
      <c r="B643" s="22"/>
      <c r="C643" s="22"/>
      <c r="D643" s="30"/>
    </row>
    <row r="644">
      <c r="B644" s="22"/>
      <c r="C644" s="22"/>
      <c r="D644" s="30"/>
    </row>
    <row r="645">
      <c r="B645" s="22"/>
      <c r="C645" s="22"/>
      <c r="D645" s="30"/>
    </row>
    <row r="646">
      <c r="B646" s="22"/>
      <c r="C646" s="22"/>
      <c r="D646" s="30"/>
    </row>
    <row r="647">
      <c r="B647" s="22"/>
      <c r="C647" s="22"/>
      <c r="D647" s="30"/>
    </row>
    <row r="648">
      <c r="B648" s="22"/>
      <c r="C648" s="22"/>
      <c r="D648" s="30"/>
    </row>
    <row r="649">
      <c r="B649" s="22"/>
      <c r="C649" s="22"/>
      <c r="D649" s="30"/>
    </row>
    <row r="650">
      <c r="B650" s="22"/>
      <c r="C650" s="22"/>
      <c r="D650" s="30"/>
    </row>
    <row r="651">
      <c r="B651" s="22"/>
      <c r="C651" s="22"/>
      <c r="D651" s="30"/>
    </row>
    <row r="652">
      <c r="B652" s="22"/>
      <c r="C652" s="22"/>
      <c r="D652" s="30"/>
    </row>
    <row r="653">
      <c r="B653" s="22"/>
      <c r="C653" s="22"/>
      <c r="D653" s="30"/>
    </row>
    <row r="654">
      <c r="B654" s="22"/>
      <c r="C654" s="22"/>
      <c r="D654" s="30"/>
    </row>
    <row r="655">
      <c r="B655" s="22"/>
      <c r="C655" s="22"/>
      <c r="D655" s="30"/>
    </row>
    <row r="656">
      <c r="B656" s="22"/>
      <c r="C656" s="22"/>
      <c r="D656" s="30"/>
    </row>
    <row r="657">
      <c r="B657" s="22"/>
      <c r="C657" s="22"/>
      <c r="D657" s="30"/>
    </row>
    <row r="658">
      <c r="B658" s="22"/>
      <c r="C658" s="22"/>
      <c r="D658" s="30"/>
    </row>
    <row r="659">
      <c r="B659" s="22"/>
      <c r="C659" s="22"/>
      <c r="D659" s="30"/>
    </row>
    <row r="660">
      <c r="B660" s="22"/>
      <c r="C660" s="22"/>
      <c r="D660" s="30"/>
    </row>
    <row r="661">
      <c r="B661" s="22"/>
      <c r="C661" s="22"/>
      <c r="D661" s="30"/>
    </row>
    <row r="662">
      <c r="B662" s="22"/>
      <c r="C662" s="22"/>
      <c r="D662" s="30"/>
    </row>
    <row r="663">
      <c r="B663" s="22"/>
      <c r="C663" s="22"/>
      <c r="D663" s="30"/>
    </row>
    <row r="664">
      <c r="B664" s="22"/>
      <c r="C664" s="22"/>
      <c r="D664" s="30"/>
    </row>
    <row r="665">
      <c r="B665" s="22"/>
      <c r="C665" s="22"/>
      <c r="D665" s="30"/>
    </row>
    <row r="666">
      <c r="B666" s="22"/>
      <c r="C666" s="22"/>
      <c r="D666" s="30"/>
    </row>
    <row r="667">
      <c r="B667" s="22"/>
      <c r="C667" s="22"/>
      <c r="D667" s="30"/>
    </row>
    <row r="668">
      <c r="B668" s="22"/>
      <c r="C668" s="22"/>
      <c r="D668" s="30"/>
    </row>
    <row r="669">
      <c r="B669" s="22"/>
      <c r="C669" s="22"/>
      <c r="D669" s="30"/>
    </row>
    <row r="670">
      <c r="B670" s="22"/>
      <c r="C670" s="22"/>
      <c r="D670" s="30"/>
    </row>
    <row r="671">
      <c r="B671" s="22"/>
      <c r="C671" s="22"/>
      <c r="D671" s="30"/>
    </row>
    <row r="672">
      <c r="B672" s="22"/>
      <c r="C672" s="22"/>
      <c r="D672" s="30"/>
    </row>
    <row r="673">
      <c r="B673" s="22"/>
      <c r="C673" s="22"/>
      <c r="D673" s="30"/>
    </row>
    <row r="674">
      <c r="B674" s="22"/>
      <c r="C674" s="22"/>
      <c r="D674" s="30"/>
    </row>
    <row r="675">
      <c r="B675" s="22"/>
      <c r="C675" s="22"/>
      <c r="D675" s="30"/>
    </row>
    <row r="676">
      <c r="B676" s="22"/>
      <c r="C676" s="22"/>
      <c r="D676" s="30"/>
    </row>
    <row r="677">
      <c r="B677" s="22"/>
      <c r="C677" s="22"/>
      <c r="D677" s="30"/>
    </row>
    <row r="678">
      <c r="B678" s="22"/>
      <c r="C678" s="22"/>
      <c r="D678" s="30"/>
    </row>
    <row r="679">
      <c r="B679" s="22"/>
      <c r="C679" s="22"/>
      <c r="D679" s="30"/>
    </row>
    <row r="680">
      <c r="B680" s="22"/>
      <c r="C680" s="22"/>
      <c r="D680" s="30"/>
    </row>
    <row r="681">
      <c r="B681" s="22"/>
      <c r="C681" s="22"/>
      <c r="D681" s="30"/>
    </row>
    <row r="682">
      <c r="B682" s="22"/>
      <c r="C682" s="22"/>
      <c r="D682" s="30"/>
    </row>
    <row r="683">
      <c r="B683" s="22"/>
      <c r="C683" s="22"/>
      <c r="D683" s="30"/>
    </row>
    <row r="684">
      <c r="B684" s="22"/>
      <c r="C684" s="22"/>
      <c r="D684" s="30"/>
    </row>
    <row r="685">
      <c r="B685" s="22"/>
      <c r="C685" s="22"/>
      <c r="D685" s="30"/>
    </row>
    <row r="686">
      <c r="B686" s="22"/>
      <c r="C686" s="22"/>
      <c r="D686" s="30"/>
    </row>
    <row r="687">
      <c r="B687" s="22"/>
      <c r="C687" s="22"/>
      <c r="D687" s="30"/>
    </row>
    <row r="688">
      <c r="B688" s="22"/>
      <c r="C688" s="22"/>
      <c r="D688" s="30"/>
    </row>
    <row r="689">
      <c r="B689" s="22"/>
      <c r="C689" s="22"/>
      <c r="D689" s="30"/>
    </row>
    <row r="690">
      <c r="B690" s="22"/>
      <c r="C690" s="22"/>
      <c r="D690" s="30"/>
    </row>
    <row r="691">
      <c r="B691" s="22"/>
      <c r="C691" s="22"/>
      <c r="D691" s="30"/>
    </row>
    <row r="692">
      <c r="B692" s="22"/>
      <c r="C692" s="22"/>
      <c r="D692" s="30"/>
    </row>
    <row r="693">
      <c r="B693" s="22"/>
      <c r="C693" s="22"/>
      <c r="D693" s="30"/>
    </row>
    <row r="694">
      <c r="B694" s="22"/>
      <c r="C694" s="22"/>
      <c r="D694" s="30"/>
    </row>
    <row r="695">
      <c r="B695" s="22"/>
      <c r="C695" s="22"/>
      <c r="D695" s="30"/>
    </row>
    <row r="696">
      <c r="B696" s="22"/>
      <c r="C696" s="22"/>
      <c r="D696" s="30"/>
    </row>
    <row r="697">
      <c r="B697" s="22"/>
      <c r="C697" s="22"/>
      <c r="D697" s="30"/>
    </row>
    <row r="698">
      <c r="B698" s="22"/>
      <c r="C698" s="22"/>
      <c r="D698" s="30"/>
    </row>
    <row r="699">
      <c r="B699" s="22"/>
      <c r="C699" s="22"/>
      <c r="D699" s="30"/>
    </row>
    <row r="700">
      <c r="B700" s="22"/>
      <c r="C700" s="22"/>
      <c r="D700" s="30"/>
    </row>
    <row r="701">
      <c r="B701" s="22"/>
      <c r="C701" s="22"/>
      <c r="D701" s="30"/>
    </row>
    <row r="702">
      <c r="B702" s="22"/>
      <c r="C702" s="22"/>
      <c r="D702" s="30"/>
    </row>
    <row r="703">
      <c r="B703" s="22"/>
      <c r="C703" s="22"/>
      <c r="D703" s="30"/>
    </row>
    <row r="704">
      <c r="B704" s="22"/>
      <c r="C704" s="22"/>
      <c r="D704" s="30"/>
    </row>
    <row r="705">
      <c r="B705" s="22"/>
      <c r="C705" s="22"/>
      <c r="D705" s="30"/>
    </row>
    <row r="706">
      <c r="B706" s="22"/>
      <c r="C706" s="22"/>
      <c r="D706" s="30"/>
    </row>
    <row r="707">
      <c r="B707" s="22"/>
      <c r="C707" s="22"/>
      <c r="D707" s="30"/>
    </row>
    <row r="708">
      <c r="B708" s="22"/>
      <c r="C708" s="22"/>
      <c r="D708" s="30"/>
    </row>
    <row r="709">
      <c r="B709" s="22"/>
      <c r="C709" s="22"/>
      <c r="D709" s="30"/>
    </row>
    <row r="710">
      <c r="B710" s="22"/>
      <c r="C710" s="22"/>
      <c r="D710" s="30"/>
    </row>
    <row r="711">
      <c r="B711" s="22"/>
      <c r="C711" s="22"/>
      <c r="D711" s="30"/>
    </row>
    <row r="712">
      <c r="B712" s="22"/>
      <c r="C712" s="22"/>
      <c r="D712" s="30"/>
    </row>
    <row r="713">
      <c r="B713" s="22"/>
      <c r="C713" s="22"/>
      <c r="D713" s="30"/>
    </row>
    <row r="714">
      <c r="B714" s="22"/>
      <c r="C714" s="22"/>
      <c r="D714" s="30"/>
    </row>
    <row r="715">
      <c r="B715" s="22"/>
      <c r="C715" s="22"/>
      <c r="D715" s="30"/>
    </row>
    <row r="716">
      <c r="B716" s="22"/>
      <c r="C716" s="22"/>
      <c r="D716" s="30"/>
    </row>
    <row r="717">
      <c r="B717" s="22"/>
      <c r="C717" s="22"/>
      <c r="D717" s="30"/>
    </row>
    <row r="718">
      <c r="B718" s="22"/>
      <c r="C718" s="22"/>
      <c r="D718" s="30"/>
    </row>
    <row r="719">
      <c r="B719" s="22"/>
      <c r="C719" s="22"/>
      <c r="D719" s="30"/>
    </row>
    <row r="720">
      <c r="B720" s="22"/>
      <c r="C720" s="22"/>
      <c r="D720" s="30"/>
    </row>
    <row r="721">
      <c r="B721" s="22"/>
      <c r="C721" s="22"/>
      <c r="D721" s="30"/>
    </row>
    <row r="722">
      <c r="B722" s="22"/>
      <c r="C722" s="22"/>
      <c r="D722" s="30"/>
    </row>
    <row r="723">
      <c r="B723" s="22"/>
      <c r="C723" s="22"/>
      <c r="D723" s="30"/>
    </row>
    <row r="724">
      <c r="B724" s="22"/>
      <c r="C724" s="22"/>
      <c r="D724" s="30"/>
    </row>
    <row r="725">
      <c r="B725" s="22"/>
      <c r="C725" s="22"/>
      <c r="D725" s="30"/>
    </row>
    <row r="726">
      <c r="B726" s="22"/>
      <c r="C726" s="22"/>
      <c r="D726" s="30"/>
    </row>
    <row r="727">
      <c r="B727" s="22"/>
      <c r="C727" s="22"/>
      <c r="D727" s="30"/>
    </row>
    <row r="728">
      <c r="B728" s="22"/>
      <c r="C728" s="22"/>
      <c r="D728" s="30"/>
    </row>
    <row r="729">
      <c r="B729" s="22"/>
      <c r="C729" s="22"/>
      <c r="D729" s="30"/>
    </row>
    <row r="730">
      <c r="B730" s="22"/>
      <c r="C730" s="22"/>
      <c r="D730" s="30"/>
    </row>
    <row r="731">
      <c r="B731" s="22"/>
      <c r="C731" s="22"/>
      <c r="D731" s="30"/>
    </row>
    <row r="732">
      <c r="B732" s="22"/>
      <c r="C732" s="22"/>
      <c r="D732" s="30"/>
    </row>
    <row r="733">
      <c r="B733" s="22"/>
      <c r="C733" s="22"/>
      <c r="D733" s="30"/>
    </row>
    <row r="734">
      <c r="B734" s="22"/>
      <c r="C734" s="22"/>
      <c r="D734" s="30"/>
    </row>
    <row r="735">
      <c r="B735" s="22"/>
      <c r="C735" s="22"/>
      <c r="D735" s="30"/>
    </row>
    <row r="736">
      <c r="B736" s="22"/>
      <c r="C736" s="22"/>
      <c r="D736" s="30"/>
    </row>
    <row r="737">
      <c r="B737" s="22"/>
      <c r="C737" s="22"/>
      <c r="D737" s="30"/>
    </row>
    <row r="738">
      <c r="B738" s="22"/>
      <c r="C738" s="22"/>
      <c r="D738" s="30"/>
    </row>
    <row r="739">
      <c r="B739" s="22"/>
      <c r="C739" s="22"/>
      <c r="D739" s="30"/>
    </row>
    <row r="740">
      <c r="B740" s="22"/>
      <c r="C740" s="22"/>
      <c r="D740" s="30"/>
    </row>
    <row r="741">
      <c r="B741" s="22"/>
      <c r="C741" s="22"/>
      <c r="D741" s="30"/>
    </row>
    <row r="742">
      <c r="B742" s="22"/>
      <c r="C742" s="22"/>
      <c r="D742" s="30"/>
    </row>
    <row r="743">
      <c r="B743" s="22"/>
      <c r="C743" s="22"/>
      <c r="D743" s="30"/>
    </row>
    <row r="744">
      <c r="B744" s="22"/>
      <c r="C744" s="22"/>
      <c r="D744" s="30"/>
    </row>
    <row r="745">
      <c r="B745" s="22"/>
      <c r="C745" s="22"/>
      <c r="D745" s="30"/>
    </row>
    <row r="746">
      <c r="B746" s="22"/>
      <c r="C746" s="22"/>
      <c r="D746" s="30"/>
    </row>
    <row r="747">
      <c r="B747" s="22"/>
      <c r="C747" s="22"/>
      <c r="D747" s="30"/>
    </row>
    <row r="748">
      <c r="B748" s="22"/>
      <c r="C748" s="22"/>
      <c r="D748" s="30"/>
    </row>
    <row r="749">
      <c r="B749" s="22"/>
      <c r="C749" s="22"/>
      <c r="D749" s="30"/>
    </row>
    <row r="750">
      <c r="B750" s="22"/>
      <c r="C750" s="22"/>
      <c r="D750" s="30"/>
    </row>
    <row r="751">
      <c r="B751" s="22"/>
      <c r="C751" s="22"/>
      <c r="D751" s="30"/>
    </row>
    <row r="752">
      <c r="B752" s="22"/>
      <c r="C752" s="22"/>
      <c r="D752" s="30"/>
    </row>
    <row r="753">
      <c r="B753" s="22"/>
      <c r="C753" s="22"/>
      <c r="D753" s="30"/>
    </row>
    <row r="754">
      <c r="B754" s="22"/>
      <c r="C754" s="22"/>
      <c r="D754" s="30"/>
    </row>
    <row r="755">
      <c r="B755" s="22"/>
      <c r="C755" s="22"/>
      <c r="D755" s="30"/>
    </row>
    <row r="756">
      <c r="B756" s="22"/>
      <c r="C756" s="22"/>
      <c r="D756" s="30"/>
    </row>
    <row r="757">
      <c r="B757" s="22"/>
      <c r="C757" s="22"/>
      <c r="D757" s="30"/>
    </row>
    <row r="758">
      <c r="B758" s="22"/>
      <c r="C758" s="22"/>
      <c r="D758" s="30"/>
    </row>
    <row r="759">
      <c r="B759" s="22"/>
      <c r="C759" s="22"/>
      <c r="D759" s="30"/>
    </row>
    <row r="760">
      <c r="B760" s="22"/>
      <c r="C760" s="22"/>
      <c r="D760" s="30"/>
    </row>
    <row r="761">
      <c r="B761" s="22"/>
      <c r="C761" s="22"/>
      <c r="D761" s="30"/>
    </row>
    <row r="762">
      <c r="B762" s="22"/>
      <c r="C762" s="22"/>
      <c r="D762" s="30"/>
    </row>
    <row r="763">
      <c r="B763" s="22"/>
      <c r="C763" s="22"/>
      <c r="D763" s="30"/>
    </row>
    <row r="764">
      <c r="B764" s="22"/>
      <c r="C764" s="22"/>
      <c r="D764" s="30"/>
    </row>
    <row r="765">
      <c r="B765" s="22"/>
      <c r="C765" s="22"/>
      <c r="D765" s="30"/>
    </row>
    <row r="766">
      <c r="B766" s="22"/>
      <c r="C766" s="22"/>
      <c r="D766" s="30"/>
    </row>
    <row r="767">
      <c r="B767" s="22"/>
      <c r="C767" s="22"/>
      <c r="D767" s="30"/>
    </row>
    <row r="768">
      <c r="B768" s="22"/>
      <c r="C768" s="22"/>
      <c r="D768" s="30"/>
    </row>
    <row r="769">
      <c r="B769" s="22"/>
      <c r="C769" s="22"/>
      <c r="D769" s="30"/>
    </row>
    <row r="770">
      <c r="B770" s="22"/>
      <c r="C770" s="22"/>
      <c r="D770" s="30"/>
    </row>
    <row r="771">
      <c r="B771" s="22"/>
      <c r="C771" s="22"/>
      <c r="D771" s="30"/>
    </row>
    <row r="772">
      <c r="B772" s="22"/>
      <c r="C772" s="22"/>
      <c r="D772" s="30"/>
    </row>
    <row r="773">
      <c r="B773" s="22"/>
      <c r="C773" s="22"/>
      <c r="D773" s="30"/>
    </row>
    <row r="774">
      <c r="B774" s="22"/>
      <c r="C774" s="22"/>
      <c r="D774" s="30"/>
    </row>
    <row r="775">
      <c r="B775" s="22"/>
      <c r="C775" s="22"/>
      <c r="D775" s="30"/>
    </row>
    <row r="776">
      <c r="B776" s="22"/>
      <c r="C776" s="22"/>
      <c r="D776" s="30"/>
    </row>
    <row r="777">
      <c r="B777" s="22"/>
      <c r="C777" s="22"/>
      <c r="D777" s="30"/>
    </row>
    <row r="778">
      <c r="B778" s="22"/>
      <c r="C778" s="22"/>
      <c r="D778" s="30"/>
    </row>
    <row r="779">
      <c r="B779" s="22"/>
      <c r="C779" s="22"/>
      <c r="D779" s="30"/>
    </row>
    <row r="780">
      <c r="B780" s="22"/>
      <c r="C780" s="22"/>
      <c r="D780" s="30"/>
    </row>
    <row r="781">
      <c r="B781" s="22"/>
      <c r="C781" s="22"/>
      <c r="D781" s="30"/>
    </row>
    <row r="782">
      <c r="B782" s="22"/>
      <c r="C782" s="22"/>
      <c r="D782" s="30"/>
    </row>
    <row r="783">
      <c r="B783" s="22"/>
      <c r="C783" s="22"/>
      <c r="D783" s="30"/>
    </row>
    <row r="784">
      <c r="B784" s="22"/>
      <c r="C784" s="22"/>
      <c r="D784" s="30"/>
    </row>
    <row r="785">
      <c r="B785" s="22"/>
      <c r="C785" s="22"/>
      <c r="D785" s="30"/>
    </row>
    <row r="786">
      <c r="B786" s="22"/>
      <c r="C786" s="22"/>
      <c r="D786" s="30"/>
    </row>
    <row r="787">
      <c r="B787" s="22"/>
      <c r="C787" s="22"/>
      <c r="D787" s="30"/>
    </row>
    <row r="788">
      <c r="B788" s="22"/>
      <c r="C788" s="22"/>
      <c r="D788" s="30"/>
    </row>
    <row r="789">
      <c r="B789" s="22"/>
      <c r="C789" s="22"/>
      <c r="D789" s="30"/>
    </row>
    <row r="790">
      <c r="B790" s="22"/>
      <c r="C790" s="22"/>
      <c r="D790" s="30"/>
    </row>
    <row r="791">
      <c r="B791" s="22"/>
      <c r="C791" s="22"/>
      <c r="D791" s="30"/>
    </row>
    <row r="792">
      <c r="B792" s="22"/>
      <c r="C792" s="22"/>
      <c r="D792" s="30"/>
    </row>
    <row r="793">
      <c r="B793" s="22"/>
      <c r="C793" s="22"/>
      <c r="D793" s="30"/>
    </row>
    <row r="794">
      <c r="B794" s="22"/>
      <c r="C794" s="22"/>
      <c r="D794" s="30"/>
    </row>
    <row r="795">
      <c r="B795" s="22"/>
      <c r="C795" s="22"/>
      <c r="D795" s="30"/>
    </row>
    <row r="796">
      <c r="B796" s="22"/>
      <c r="C796" s="22"/>
      <c r="D796" s="30"/>
    </row>
    <row r="797">
      <c r="B797" s="22"/>
      <c r="C797" s="22"/>
      <c r="D797" s="30"/>
    </row>
    <row r="798">
      <c r="B798" s="22"/>
      <c r="C798" s="22"/>
      <c r="D798" s="30"/>
    </row>
    <row r="799">
      <c r="B799" s="22"/>
      <c r="C799" s="22"/>
      <c r="D799" s="30"/>
    </row>
    <row r="800">
      <c r="B800" s="22"/>
      <c r="C800" s="22"/>
      <c r="D800" s="30"/>
    </row>
    <row r="801">
      <c r="B801" s="22"/>
      <c r="C801" s="22"/>
      <c r="D801" s="30"/>
    </row>
    <row r="802">
      <c r="B802" s="22"/>
      <c r="C802" s="22"/>
      <c r="D802" s="30"/>
    </row>
    <row r="803">
      <c r="B803" s="22"/>
      <c r="C803" s="22"/>
      <c r="D803" s="30"/>
    </row>
    <row r="804">
      <c r="B804" s="22"/>
      <c r="C804" s="22"/>
      <c r="D804" s="30"/>
    </row>
    <row r="805">
      <c r="B805" s="22"/>
      <c r="C805" s="22"/>
      <c r="D805" s="30"/>
    </row>
    <row r="806">
      <c r="B806" s="22"/>
      <c r="C806" s="22"/>
      <c r="D806" s="30"/>
    </row>
    <row r="807">
      <c r="B807" s="22"/>
      <c r="C807" s="22"/>
      <c r="D807" s="30"/>
    </row>
    <row r="808">
      <c r="B808" s="22"/>
      <c r="C808" s="22"/>
      <c r="D808" s="30"/>
    </row>
    <row r="809">
      <c r="B809" s="22"/>
      <c r="C809" s="22"/>
      <c r="D809" s="30"/>
    </row>
    <row r="810">
      <c r="B810" s="22"/>
      <c r="C810" s="22"/>
      <c r="D810" s="30"/>
    </row>
    <row r="811">
      <c r="B811" s="22"/>
      <c r="C811" s="22"/>
      <c r="D811" s="30"/>
    </row>
    <row r="812">
      <c r="B812" s="22"/>
      <c r="C812" s="22"/>
      <c r="D812" s="30"/>
    </row>
    <row r="813">
      <c r="B813" s="22"/>
      <c r="C813" s="22"/>
      <c r="D813" s="30"/>
    </row>
    <row r="814">
      <c r="B814" s="22"/>
      <c r="C814" s="22"/>
      <c r="D814" s="30"/>
    </row>
    <row r="815">
      <c r="B815" s="22"/>
      <c r="C815" s="22"/>
      <c r="D815" s="30"/>
    </row>
    <row r="816">
      <c r="B816" s="22"/>
      <c r="C816" s="22"/>
      <c r="D816" s="30"/>
    </row>
    <row r="817">
      <c r="B817" s="22"/>
      <c r="C817" s="22"/>
      <c r="D817" s="30"/>
    </row>
    <row r="818">
      <c r="B818" s="22"/>
      <c r="C818" s="22"/>
      <c r="D818" s="30"/>
    </row>
    <row r="819">
      <c r="B819" s="22"/>
      <c r="C819" s="22"/>
      <c r="D819" s="30"/>
    </row>
    <row r="820">
      <c r="B820" s="22"/>
      <c r="C820" s="22"/>
      <c r="D820" s="30"/>
    </row>
    <row r="821">
      <c r="B821" s="22"/>
      <c r="C821" s="22"/>
      <c r="D821" s="30"/>
    </row>
    <row r="822">
      <c r="B822" s="22"/>
      <c r="C822" s="22"/>
      <c r="D822" s="30"/>
    </row>
    <row r="823">
      <c r="B823" s="22"/>
      <c r="C823" s="22"/>
      <c r="D823" s="30"/>
    </row>
    <row r="824">
      <c r="B824" s="22"/>
      <c r="C824" s="22"/>
      <c r="D824" s="30"/>
    </row>
    <row r="825">
      <c r="B825" s="22"/>
      <c r="C825" s="22"/>
      <c r="D825" s="30"/>
    </row>
    <row r="826">
      <c r="B826" s="22"/>
      <c r="C826" s="22"/>
      <c r="D826" s="30"/>
    </row>
    <row r="827">
      <c r="B827" s="22"/>
      <c r="C827" s="22"/>
      <c r="D827" s="30"/>
    </row>
    <row r="828">
      <c r="B828" s="22"/>
      <c r="C828" s="22"/>
      <c r="D828" s="30"/>
    </row>
    <row r="829">
      <c r="B829" s="22"/>
      <c r="C829" s="22"/>
      <c r="D829" s="30"/>
    </row>
    <row r="830">
      <c r="B830" s="22"/>
      <c r="C830" s="22"/>
      <c r="D830" s="30"/>
    </row>
    <row r="831">
      <c r="B831" s="22"/>
      <c r="C831" s="22"/>
      <c r="D831" s="30"/>
    </row>
    <row r="832">
      <c r="B832" s="22"/>
      <c r="C832" s="22"/>
      <c r="D832" s="30"/>
    </row>
    <row r="833">
      <c r="B833" s="22"/>
      <c r="C833" s="22"/>
      <c r="D833" s="30"/>
    </row>
    <row r="834">
      <c r="B834" s="22"/>
      <c r="C834" s="22"/>
      <c r="D834" s="30"/>
    </row>
    <row r="835">
      <c r="B835" s="22"/>
      <c r="C835" s="22"/>
      <c r="D835" s="30"/>
    </row>
    <row r="836">
      <c r="B836" s="22"/>
      <c r="C836" s="22"/>
      <c r="D836" s="30"/>
    </row>
    <row r="837">
      <c r="B837" s="22"/>
      <c r="C837" s="22"/>
      <c r="D837" s="30"/>
    </row>
    <row r="838">
      <c r="B838" s="22"/>
      <c r="C838" s="22"/>
      <c r="D838" s="30"/>
    </row>
    <row r="839">
      <c r="B839" s="22"/>
      <c r="C839" s="22"/>
      <c r="D839" s="30"/>
    </row>
    <row r="840">
      <c r="B840" s="22"/>
      <c r="C840" s="22"/>
      <c r="D840" s="30"/>
    </row>
    <row r="841">
      <c r="B841" s="22"/>
      <c r="C841" s="22"/>
      <c r="D841" s="30"/>
    </row>
    <row r="842">
      <c r="B842" s="22"/>
      <c r="C842" s="22"/>
      <c r="D842" s="30"/>
    </row>
    <row r="843">
      <c r="B843" s="22"/>
      <c r="C843" s="22"/>
      <c r="D843" s="30"/>
    </row>
    <row r="844">
      <c r="B844" s="22"/>
      <c r="C844" s="22"/>
      <c r="D844" s="30"/>
    </row>
    <row r="845">
      <c r="B845" s="22"/>
      <c r="C845" s="22"/>
      <c r="D845" s="30"/>
    </row>
    <row r="846">
      <c r="B846" s="22"/>
      <c r="C846" s="22"/>
      <c r="D846" s="30"/>
    </row>
    <row r="847">
      <c r="B847" s="22"/>
      <c r="C847" s="22"/>
      <c r="D847" s="30"/>
    </row>
    <row r="848">
      <c r="B848" s="22"/>
      <c r="C848" s="22"/>
      <c r="D848" s="30"/>
    </row>
    <row r="849">
      <c r="B849" s="22"/>
      <c r="C849" s="22"/>
      <c r="D849" s="30"/>
    </row>
    <row r="850">
      <c r="B850" s="22"/>
      <c r="C850" s="22"/>
      <c r="D850" s="30"/>
    </row>
    <row r="851">
      <c r="B851" s="22"/>
      <c r="C851" s="22"/>
      <c r="D851" s="30"/>
    </row>
    <row r="852">
      <c r="B852" s="22"/>
      <c r="C852" s="22"/>
      <c r="D852" s="30"/>
    </row>
    <row r="853">
      <c r="B853" s="22"/>
      <c r="C853" s="22"/>
      <c r="D853" s="30"/>
    </row>
    <row r="854">
      <c r="B854" s="22"/>
      <c r="C854" s="22"/>
      <c r="D854" s="30"/>
    </row>
    <row r="855">
      <c r="B855" s="22"/>
      <c r="C855" s="22"/>
      <c r="D855" s="30"/>
    </row>
    <row r="856">
      <c r="B856" s="22"/>
      <c r="C856" s="22"/>
      <c r="D856" s="30"/>
    </row>
    <row r="857">
      <c r="B857" s="22"/>
      <c r="C857" s="22"/>
      <c r="D857" s="30"/>
    </row>
    <row r="858">
      <c r="B858" s="22"/>
      <c r="C858" s="22"/>
      <c r="D858" s="30"/>
    </row>
    <row r="859">
      <c r="B859" s="22"/>
      <c r="C859" s="22"/>
      <c r="D859" s="30"/>
    </row>
    <row r="860">
      <c r="B860" s="22"/>
      <c r="C860" s="22"/>
      <c r="D860" s="30"/>
    </row>
    <row r="861">
      <c r="B861" s="22"/>
      <c r="C861" s="22"/>
      <c r="D861" s="30"/>
    </row>
    <row r="862">
      <c r="B862" s="22"/>
      <c r="C862" s="22"/>
      <c r="D862" s="30"/>
    </row>
    <row r="863">
      <c r="B863" s="22"/>
      <c r="C863" s="22"/>
      <c r="D863" s="30"/>
    </row>
    <row r="864">
      <c r="B864" s="22"/>
      <c r="C864" s="22"/>
      <c r="D864" s="30"/>
    </row>
    <row r="865">
      <c r="B865" s="22"/>
      <c r="C865" s="22"/>
      <c r="D865" s="30"/>
    </row>
    <row r="866">
      <c r="B866" s="22"/>
      <c r="C866" s="22"/>
      <c r="D866" s="30"/>
    </row>
    <row r="867">
      <c r="B867" s="22"/>
      <c r="C867" s="22"/>
      <c r="D867" s="30"/>
    </row>
    <row r="868">
      <c r="B868" s="22"/>
      <c r="C868" s="22"/>
      <c r="D868" s="30"/>
    </row>
    <row r="869">
      <c r="B869" s="22"/>
      <c r="C869" s="22"/>
      <c r="D869" s="30"/>
    </row>
    <row r="870">
      <c r="B870" s="22"/>
      <c r="C870" s="22"/>
      <c r="D870" s="30"/>
    </row>
    <row r="871">
      <c r="B871" s="22"/>
      <c r="C871" s="22"/>
      <c r="D871" s="30"/>
    </row>
    <row r="872">
      <c r="B872" s="22"/>
      <c r="C872" s="22"/>
      <c r="D872" s="30"/>
    </row>
    <row r="873">
      <c r="B873" s="22"/>
      <c r="C873" s="22"/>
      <c r="D873" s="30"/>
    </row>
    <row r="874">
      <c r="B874" s="22"/>
      <c r="C874" s="22"/>
      <c r="D874" s="30"/>
    </row>
    <row r="875">
      <c r="B875" s="22"/>
      <c r="C875" s="22"/>
      <c r="D875" s="30"/>
    </row>
    <row r="876">
      <c r="B876" s="22"/>
      <c r="C876" s="22"/>
      <c r="D876" s="30"/>
    </row>
    <row r="877">
      <c r="B877" s="22"/>
      <c r="C877" s="22"/>
      <c r="D877" s="30"/>
    </row>
    <row r="878">
      <c r="B878" s="22"/>
      <c r="C878" s="22"/>
      <c r="D878" s="30"/>
    </row>
    <row r="879">
      <c r="B879" s="22"/>
      <c r="C879" s="22"/>
      <c r="D879" s="30"/>
    </row>
    <row r="880">
      <c r="B880" s="22"/>
      <c r="C880" s="22"/>
      <c r="D880" s="30"/>
    </row>
    <row r="881">
      <c r="B881" s="22"/>
      <c r="C881" s="22"/>
      <c r="D881" s="30"/>
    </row>
    <row r="882">
      <c r="B882" s="22"/>
      <c r="C882" s="22"/>
      <c r="D882" s="30"/>
    </row>
    <row r="883">
      <c r="B883" s="22"/>
      <c r="C883" s="22"/>
      <c r="D883" s="30"/>
    </row>
    <row r="884">
      <c r="B884" s="22"/>
      <c r="C884" s="22"/>
      <c r="D884" s="30"/>
    </row>
    <row r="885">
      <c r="B885" s="22"/>
      <c r="C885" s="22"/>
      <c r="D885" s="30"/>
    </row>
    <row r="886">
      <c r="B886" s="22"/>
      <c r="C886" s="22"/>
      <c r="D886" s="30"/>
    </row>
    <row r="887">
      <c r="B887" s="22"/>
      <c r="C887" s="22"/>
      <c r="D887" s="30"/>
    </row>
    <row r="888">
      <c r="B888" s="22"/>
      <c r="C888" s="22"/>
      <c r="D888" s="30"/>
    </row>
    <row r="889">
      <c r="B889" s="22"/>
      <c r="C889" s="22"/>
      <c r="D889" s="30"/>
    </row>
    <row r="890">
      <c r="B890" s="22"/>
      <c r="C890" s="22"/>
      <c r="D890" s="30"/>
    </row>
    <row r="891">
      <c r="B891" s="22"/>
      <c r="C891" s="22"/>
      <c r="D891" s="30"/>
    </row>
    <row r="892">
      <c r="B892" s="22"/>
      <c r="C892" s="22"/>
      <c r="D892" s="30"/>
    </row>
    <row r="893">
      <c r="B893" s="22"/>
      <c r="C893" s="22"/>
      <c r="D893" s="30"/>
    </row>
    <row r="894">
      <c r="B894" s="22"/>
      <c r="C894" s="22"/>
      <c r="D894" s="30"/>
    </row>
    <row r="895">
      <c r="B895" s="22"/>
      <c r="C895" s="22"/>
      <c r="D895" s="30"/>
    </row>
    <row r="896">
      <c r="B896" s="22"/>
      <c r="C896" s="22"/>
      <c r="D896" s="30"/>
    </row>
    <row r="897">
      <c r="B897" s="22"/>
      <c r="C897" s="22"/>
      <c r="D897" s="30"/>
    </row>
    <row r="898">
      <c r="B898" s="22"/>
      <c r="C898" s="22"/>
      <c r="D898" s="30"/>
    </row>
    <row r="899">
      <c r="B899" s="22"/>
      <c r="C899" s="22"/>
      <c r="D899" s="30"/>
    </row>
    <row r="900">
      <c r="B900" s="22"/>
      <c r="C900" s="22"/>
      <c r="D900" s="30"/>
    </row>
    <row r="901">
      <c r="B901" s="22"/>
      <c r="C901" s="22"/>
      <c r="D901" s="30"/>
    </row>
    <row r="902">
      <c r="B902" s="22"/>
      <c r="C902" s="22"/>
      <c r="D902" s="30"/>
    </row>
    <row r="903">
      <c r="B903" s="22"/>
      <c r="C903" s="22"/>
      <c r="D903" s="30"/>
    </row>
    <row r="904">
      <c r="B904" s="22"/>
      <c r="C904" s="22"/>
      <c r="D904" s="30"/>
    </row>
    <row r="905">
      <c r="B905" s="22"/>
      <c r="C905" s="22"/>
      <c r="D905" s="30"/>
    </row>
    <row r="906">
      <c r="B906" s="22"/>
      <c r="C906" s="22"/>
      <c r="D906" s="30"/>
    </row>
    <row r="907">
      <c r="B907" s="22"/>
      <c r="C907" s="22"/>
      <c r="D907" s="30"/>
    </row>
    <row r="908">
      <c r="B908" s="22"/>
      <c r="C908" s="22"/>
      <c r="D908" s="30"/>
    </row>
    <row r="909">
      <c r="B909" s="22"/>
      <c r="C909" s="22"/>
      <c r="D909" s="30"/>
    </row>
    <row r="910">
      <c r="B910" s="22"/>
      <c r="C910" s="22"/>
      <c r="D910" s="30"/>
    </row>
    <row r="911">
      <c r="B911" s="22"/>
      <c r="C911" s="22"/>
      <c r="D911" s="30"/>
    </row>
    <row r="912">
      <c r="B912" s="22"/>
      <c r="C912" s="22"/>
      <c r="D912" s="30"/>
    </row>
    <row r="913">
      <c r="B913" s="22"/>
      <c r="C913" s="22"/>
      <c r="D913" s="30"/>
    </row>
    <row r="914">
      <c r="B914" s="22"/>
      <c r="C914" s="22"/>
      <c r="D914" s="30"/>
    </row>
    <row r="915">
      <c r="B915" s="22"/>
      <c r="C915" s="22"/>
      <c r="D915" s="30"/>
    </row>
    <row r="916">
      <c r="B916" s="22"/>
      <c r="C916" s="22"/>
      <c r="D916" s="30"/>
    </row>
    <row r="917">
      <c r="B917" s="22"/>
      <c r="C917" s="22"/>
      <c r="D917" s="30"/>
    </row>
    <row r="918">
      <c r="B918" s="22"/>
      <c r="C918" s="22"/>
      <c r="D918" s="30"/>
    </row>
    <row r="919">
      <c r="B919" s="22"/>
      <c r="C919" s="22"/>
      <c r="D919" s="30"/>
    </row>
    <row r="920">
      <c r="B920" s="22"/>
      <c r="C920" s="22"/>
      <c r="D920" s="30"/>
    </row>
    <row r="921">
      <c r="B921" s="22"/>
      <c r="C921" s="22"/>
      <c r="D921" s="30"/>
    </row>
    <row r="922">
      <c r="B922" s="22"/>
      <c r="C922" s="22"/>
      <c r="D922" s="30"/>
    </row>
    <row r="923">
      <c r="B923" s="22"/>
      <c r="C923" s="22"/>
      <c r="D923" s="30"/>
    </row>
    <row r="924">
      <c r="B924" s="22"/>
      <c r="C924" s="22"/>
      <c r="D924" s="30"/>
    </row>
    <row r="925">
      <c r="B925" s="22"/>
      <c r="C925" s="22"/>
      <c r="D925" s="30"/>
    </row>
    <row r="926">
      <c r="B926" s="22"/>
      <c r="C926" s="22"/>
      <c r="D926" s="30"/>
    </row>
    <row r="927">
      <c r="B927" s="22"/>
      <c r="C927" s="22"/>
      <c r="D927" s="30"/>
    </row>
    <row r="928">
      <c r="B928" s="22"/>
      <c r="C928" s="22"/>
      <c r="D928" s="30"/>
    </row>
    <row r="929">
      <c r="B929" s="22"/>
      <c r="C929" s="22"/>
      <c r="D929" s="30"/>
    </row>
    <row r="930">
      <c r="B930" s="22"/>
      <c r="C930" s="22"/>
      <c r="D930" s="30"/>
    </row>
    <row r="931">
      <c r="B931" s="22"/>
      <c r="C931" s="22"/>
      <c r="D931" s="30"/>
    </row>
    <row r="932">
      <c r="B932" s="22"/>
      <c r="C932" s="22"/>
      <c r="D932" s="30"/>
    </row>
    <row r="933">
      <c r="B933" s="22"/>
      <c r="C933" s="22"/>
      <c r="D933" s="30"/>
    </row>
    <row r="934">
      <c r="B934" s="22"/>
      <c r="C934" s="22"/>
      <c r="D934" s="30"/>
    </row>
    <row r="935">
      <c r="B935" s="22"/>
      <c r="C935" s="22"/>
      <c r="D935" s="30"/>
    </row>
    <row r="936">
      <c r="B936" s="22"/>
      <c r="C936" s="22"/>
      <c r="D936" s="30"/>
    </row>
    <row r="937">
      <c r="B937" s="22"/>
      <c r="C937" s="22"/>
      <c r="D937" s="30"/>
    </row>
    <row r="938">
      <c r="B938" s="22"/>
      <c r="C938" s="22"/>
      <c r="D938" s="30"/>
    </row>
    <row r="939">
      <c r="B939" s="22"/>
      <c r="C939" s="22"/>
      <c r="D939" s="30"/>
    </row>
    <row r="940">
      <c r="B940" s="22"/>
      <c r="C940" s="22"/>
      <c r="D940" s="30"/>
    </row>
    <row r="941">
      <c r="B941" s="22"/>
      <c r="C941" s="22"/>
      <c r="D941" s="30"/>
    </row>
    <row r="942">
      <c r="B942" s="22"/>
      <c r="C942" s="22"/>
      <c r="D942" s="30"/>
    </row>
    <row r="943">
      <c r="B943" s="22"/>
      <c r="C943" s="22"/>
      <c r="D943" s="30"/>
    </row>
    <row r="944">
      <c r="B944" s="22"/>
      <c r="C944" s="22"/>
      <c r="D944" s="30"/>
    </row>
    <row r="945">
      <c r="B945" s="22"/>
      <c r="C945" s="22"/>
      <c r="D945" s="30"/>
    </row>
    <row r="946">
      <c r="B946" s="22"/>
      <c r="C946" s="22"/>
      <c r="D946" s="30"/>
    </row>
    <row r="947">
      <c r="B947" s="22"/>
      <c r="C947" s="22"/>
      <c r="D947" s="30"/>
    </row>
    <row r="948">
      <c r="B948" s="22"/>
      <c r="C948" s="22"/>
      <c r="D948" s="30"/>
    </row>
    <row r="949">
      <c r="B949" s="22"/>
      <c r="C949" s="22"/>
      <c r="D949" s="30"/>
    </row>
    <row r="950">
      <c r="B950" s="22"/>
      <c r="C950" s="22"/>
      <c r="D950" s="30"/>
    </row>
    <row r="951">
      <c r="B951" s="22"/>
      <c r="C951" s="22"/>
      <c r="D951" s="30"/>
    </row>
    <row r="952">
      <c r="B952" s="22"/>
      <c r="C952" s="22"/>
      <c r="D952" s="30"/>
    </row>
    <row r="953">
      <c r="B953" s="22"/>
      <c r="C953" s="22"/>
      <c r="D953" s="30"/>
    </row>
    <row r="954">
      <c r="B954" s="22"/>
      <c r="C954" s="22"/>
      <c r="D954" s="30"/>
    </row>
    <row r="955">
      <c r="B955" s="22"/>
      <c r="C955" s="22"/>
      <c r="D955" s="30"/>
    </row>
    <row r="956">
      <c r="B956" s="22"/>
      <c r="C956" s="22"/>
      <c r="D956" s="30"/>
    </row>
    <row r="957">
      <c r="B957" s="22"/>
      <c r="C957" s="22"/>
      <c r="D957" s="30"/>
    </row>
    <row r="958">
      <c r="B958" s="22"/>
      <c r="C958" s="22"/>
      <c r="D958" s="30"/>
    </row>
    <row r="959">
      <c r="B959" s="22"/>
      <c r="C959" s="22"/>
      <c r="D959" s="30"/>
    </row>
    <row r="960">
      <c r="B960" s="22"/>
      <c r="C960" s="22"/>
      <c r="D960" s="30"/>
    </row>
    <row r="961">
      <c r="B961" s="22"/>
      <c r="C961" s="22"/>
      <c r="D961" s="30"/>
    </row>
    <row r="962">
      <c r="B962" s="22"/>
      <c r="C962" s="22"/>
      <c r="D962" s="30"/>
    </row>
    <row r="963">
      <c r="B963" s="22"/>
      <c r="C963" s="22"/>
      <c r="D963" s="30"/>
    </row>
    <row r="964">
      <c r="B964" s="22"/>
      <c r="C964" s="22"/>
      <c r="D964" s="30"/>
    </row>
    <row r="965">
      <c r="B965" s="22"/>
      <c r="C965" s="22"/>
      <c r="D965" s="30"/>
    </row>
    <row r="966">
      <c r="B966" s="22"/>
      <c r="C966" s="22"/>
      <c r="D966" s="30"/>
    </row>
    <row r="967">
      <c r="B967" s="22"/>
      <c r="C967" s="22"/>
      <c r="D967" s="30"/>
    </row>
    <row r="968">
      <c r="B968" s="22"/>
      <c r="C968" s="22"/>
      <c r="D968" s="30"/>
    </row>
    <row r="969">
      <c r="B969" s="22"/>
      <c r="C969" s="22"/>
      <c r="D969" s="30"/>
    </row>
    <row r="970">
      <c r="B970" s="22"/>
      <c r="C970" s="22"/>
      <c r="D970" s="30"/>
    </row>
    <row r="971">
      <c r="B971" s="22"/>
      <c r="C971" s="22"/>
      <c r="D971" s="30"/>
    </row>
    <row r="972">
      <c r="B972" s="22"/>
      <c r="C972" s="22"/>
      <c r="D972" s="30"/>
    </row>
    <row r="973">
      <c r="B973" s="22"/>
      <c r="C973" s="22"/>
      <c r="D973" s="30"/>
    </row>
    <row r="974">
      <c r="B974" s="22"/>
      <c r="C974" s="22"/>
      <c r="D974" s="30"/>
    </row>
    <row r="975">
      <c r="B975" s="22"/>
      <c r="C975" s="22"/>
      <c r="D975" s="30"/>
    </row>
    <row r="976">
      <c r="B976" s="22"/>
      <c r="C976" s="22"/>
      <c r="D976" s="30"/>
    </row>
    <row r="977">
      <c r="B977" s="22"/>
      <c r="C977" s="22"/>
      <c r="D977" s="30"/>
    </row>
    <row r="978">
      <c r="B978" s="22"/>
      <c r="C978" s="22"/>
      <c r="D978" s="30"/>
    </row>
    <row r="979">
      <c r="B979" s="22"/>
      <c r="C979" s="22"/>
      <c r="D979" s="30"/>
    </row>
    <row r="980">
      <c r="B980" s="22"/>
      <c r="C980" s="22"/>
      <c r="D980" s="30"/>
    </row>
    <row r="981">
      <c r="B981" s="22"/>
      <c r="C981" s="22"/>
      <c r="D981" s="30"/>
    </row>
    <row r="982">
      <c r="B982" s="22"/>
      <c r="C982" s="22"/>
      <c r="D982" s="30"/>
    </row>
    <row r="983">
      <c r="B983" s="22"/>
      <c r="C983" s="22"/>
      <c r="D983" s="30"/>
    </row>
    <row r="984">
      <c r="B984" s="22"/>
      <c r="C984" s="22"/>
      <c r="D984" s="30"/>
    </row>
    <row r="985">
      <c r="B985" s="22"/>
      <c r="C985" s="22"/>
      <c r="D985" s="30"/>
    </row>
    <row r="986">
      <c r="B986" s="22"/>
      <c r="C986" s="22"/>
      <c r="D986" s="30"/>
    </row>
    <row r="987">
      <c r="B987" s="22"/>
      <c r="C987" s="22"/>
      <c r="D987" s="30"/>
    </row>
    <row r="988">
      <c r="B988" s="22"/>
      <c r="C988" s="22"/>
      <c r="D988" s="30"/>
    </row>
    <row r="989">
      <c r="B989" s="22"/>
      <c r="C989" s="22"/>
      <c r="D989" s="30"/>
    </row>
    <row r="990">
      <c r="B990" s="22"/>
      <c r="C990" s="22"/>
      <c r="D990" s="30"/>
    </row>
    <row r="991">
      <c r="B991" s="22"/>
      <c r="C991" s="22"/>
      <c r="D991" s="30"/>
    </row>
    <row r="992">
      <c r="B992" s="22"/>
      <c r="C992" s="22"/>
      <c r="D992" s="30"/>
    </row>
    <row r="993">
      <c r="B993" s="22"/>
      <c r="C993" s="22"/>
      <c r="D993" s="30"/>
    </row>
    <row r="994">
      <c r="B994" s="22"/>
      <c r="C994" s="22"/>
      <c r="D994" s="30"/>
    </row>
    <row r="995">
      <c r="B995" s="22"/>
      <c r="C995" s="22"/>
      <c r="D995" s="30"/>
    </row>
    <row r="996">
      <c r="B996" s="22"/>
      <c r="C996" s="22"/>
      <c r="D996" s="30"/>
    </row>
    <row r="997">
      <c r="B997" s="22"/>
      <c r="C997" s="22"/>
      <c r="D997" s="30"/>
    </row>
    <row r="998">
      <c r="B998" s="22"/>
      <c r="C998" s="22"/>
      <c r="D998" s="30"/>
    </row>
    <row r="999">
      <c r="B999" s="22"/>
      <c r="C999" s="22"/>
      <c r="D999" s="30"/>
    </row>
    <row r="1000">
      <c r="B1000" s="22"/>
      <c r="C1000" s="22"/>
      <c r="D1000" s="30"/>
    </row>
    <row r="1001">
      <c r="B1001" s="22"/>
      <c r="C1001" s="22"/>
      <c r="D1001" s="30"/>
    </row>
    <row r="1002">
      <c r="B1002" s="22"/>
      <c r="C1002" s="22"/>
      <c r="D1002" s="30"/>
    </row>
    <row r="1003">
      <c r="B1003" s="22"/>
      <c r="C1003" s="22"/>
      <c r="D1003" s="30"/>
    </row>
    <row r="1004">
      <c r="B1004" s="22"/>
      <c r="C1004" s="22"/>
      <c r="D1004" s="30"/>
    </row>
    <row r="1005">
      <c r="B1005" s="22"/>
      <c r="C1005" s="22"/>
      <c r="D1005" s="30"/>
    </row>
    <row r="1006">
      <c r="B1006" s="22"/>
      <c r="C1006" s="22"/>
      <c r="D1006" s="30"/>
    </row>
    <row r="1007">
      <c r="B1007" s="22"/>
      <c r="C1007" s="22"/>
      <c r="D1007" s="30"/>
    </row>
    <row r="1008">
      <c r="B1008" s="22"/>
      <c r="C1008" s="22"/>
      <c r="D1008" s="30"/>
    </row>
    <row r="1009">
      <c r="B1009" s="22"/>
      <c r="C1009" s="22"/>
      <c r="D1009" s="30"/>
    </row>
    <row r="1010">
      <c r="B1010" s="22"/>
      <c r="C1010" s="22"/>
      <c r="D1010" s="30"/>
    </row>
    <row r="1011">
      <c r="B1011" s="22"/>
      <c r="C1011" s="22"/>
      <c r="D1011" s="30"/>
    </row>
    <row r="1012">
      <c r="B1012" s="22"/>
      <c r="C1012" s="22"/>
      <c r="D1012" s="30"/>
    </row>
    <row r="1013">
      <c r="B1013" s="22"/>
      <c r="C1013" s="22"/>
      <c r="D1013" s="30"/>
    </row>
    <row r="1014">
      <c r="B1014" s="22"/>
      <c r="C1014" s="22"/>
      <c r="D1014" s="30"/>
    </row>
    <row r="1015">
      <c r="B1015" s="22"/>
      <c r="C1015" s="22"/>
      <c r="D1015" s="30"/>
    </row>
    <row r="1016">
      <c r="B1016" s="22"/>
      <c r="C1016" s="22"/>
      <c r="D1016" s="30"/>
    </row>
    <row r="1017">
      <c r="B1017" s="22"/>
      <c r="C1017" s="22"/>
      <c r="D1017" s="30"/>
    </row>
    <row r="1018">
      <c r="B1018" s="22"/>
      <c r="C1018" s="22"/>
      <c r="D1018" s="30"/>
    </row>
    <row r="1019">
      <c r="B1019" s="22"/>
      <c r="C1019" s="22"/>
      <c r="D1019" s="30"/>
    </row>
    <row r="1020">
      <c r="B1020" s="22"/>
      <c r="C1020" s="22"/>
      <c r="D1020" s="30"/>
    </row>
    <row r="1021">
      <c r="B1021" s="22"/>
      <c r="C1021" s="22"/>
      <c r="D1021" s="30"/>
    </row>
    <row r="1022">
      <c r="B1022" s="22"/>
      <c r="C1022" s="22"/>
      <c r="D1022" s="30"/>
    </row>
    <row r="1023">
      <c r="B1023" s="22"/>
      <c r="C1023" s="22"/>
      <c r="D1023" s="3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  <col customWidth="1" min="3" max="3" width="10.25"/>
    <col customWidth="1" min="5" max="5" width="15.75"/>
    <col customWidth="1" min="6" max="6" width="13.88"/>
    <col customWidth="1" min="7" max="7" width="10.25"/>
    <col customWidth="1" min="9" max="9" width="15.75"/>
    <col customWidth="1" min="10" max="10" width="14.13"/>
    <col customWidth="1" min="11" max="11" width="10.38"/>
    <col customWidth="1" min="13" max="13" width="15.75"/>
    <col customWidth="1" min="14" max="14" width="13.88"/>
    <col customWidth="1" min="15" max="15" width="10.25"/>
    <col customWidth="1" min="17" max="17" width="15.75"/>
    <col customWidth="1" min="18" max="18" width="13.88"/>
    <col customWidth="1" min="19" max="19" width="10.25"/>
  </cols>
  <sheetData>
    <row r="1">
      <c r="A1" s="1" t="s">
        <v>62</v>
      </c>
      <c r="E1" s="1" t="s">
        <v>63</v>
      </c>
      <c r="I1" s="1" t="s">
        <v>64</v>
      </c>
      <c r="M1" s="1" t="s">
        <v>65</v>
      </c>
      <c r="Q1" s="55">
        <v>45413.0</v>
      </c>
    </row>
    <row r="3">
      <c r="A3" s="56" t="s">
        <v>66</v>
      </c>
      <c r="B3" s="57"/>
      <c r="C3" s="58"/>
      <c r="E3" s="56" t="s">
        <v>66</v>
      </c>
      <c r="F3" s="57"/>
      <c r="G3" s="58"/>
      <c r="I3" s="56" t="s">
        <v>66</v>
      </c>
      <c r="J3" s="57"/>
      <c r="K3" s="58"/>
      <c r="M3" s="56" t="s">
        <v>66</v>
      </c>
      <c r="N3" s="57"/>
      <c r="O3" s="58"/>
      <c r="Q3" s="56" t="s">
        <v>66</v>
      </c>
      <c r="R3" s="57"/>
      <c r="S3" s="58"/>
    </row>
    <row r="4">
      <c r="A4" s="59" t="s">
        <v>67</v>
      </c>
      <c r="B4" s="60">
        <v>7729558.0</v>
      </c>
      <c r="C4" s="58"/>
      <c r="E4" s="59" t="s">
        <v>67</v>
      </c>
      <c r="F4" s="60">
        <v>7628189.0</v>
      </c>
      <c r="G4" s="58"/>
      <c r="I4" s="59" t="s">
        <v>67</v>
      </c>
      <c r="J4" s="60">
        <v>8051225.0</v>
      </c>
      <c r="K4" s="58"/>
      <c r="M4" s="59" t="s">
        <v>67</v>
      </c>
      <c r="N4" s="60">
        <v>7550240.0</v>
      </c>
      <c r="O4" s="58"/>
      <c r="Q4" s="59" t="s">
        <v>67</v>
      </c>
      <c r="R4" s="60">
        <v>6547173.0</v>
      </c>
      <c r="S4" s="58"/>
    </row>
    <row r="5">
      <c r="A5" s="59" t="s">
        <v>68</v>
      </c>
      <c r="B5" s="60">
        <v>8987632.0</v>
      </c>
      <c r="C5" s="61"/>
      <c r="E5" s="59" t="s">
        <v>68</v>
      </c>
      <c r="F5" s="60">
        <v>8301417.0</v>
      </c>
      <c r="G5" s="61"/>
      <c r="I5" s="59" t="s">
        <v>68</v>
      </c>
      <c r="J5" s="60">
        <v>8458342.0</v>
      </c>
      <c r="K5" s="61"/>
      <c r="M5" s="59" t="s">
        <v>68</v>
      </c>
      <c r="N5" s="60">
        <v>8560669.0</v>
      </c>
      <c r="O5" s="61"/>
      <c r="Q5" s="59" t="s">
        <v>68</v>
      </c>
      <c r="R5" s="60">
        <v>6278338.0</v>
      </c>
      <c r="S5" s="61"/>
    </row>
    <row r="6">
      <c r="A6" s="59" t="s">
        <v>69</v>
      </c>
      <c r="B6" s="62">
        <v>-1258074.0</v>
      </c>
      <c r="C6" s="63">
        <v>-0.14</v>
      </c>
      <c r="E6" s="59" t="s">
        <v>69</v>
      </c>
      <c r="F6" s="62">
        <v>-673228.0</v>
      </c>
      <c r="G6" s="63">
        <v>-0.0811</v>
      </c>
      <c r="I6" s="59" t="s">
        <v>69</v>
      </c>
      <c r="J6" s="62">
        <v>-407116.0</v>
      </c>
      <c r="K6" s="63">
        <v>-0.0481</v>
      </c>
      <c r="M6" s="59" t="s">
        <v>69</v>
      </c>
      <c r="N6" s="62">
        <v>-1010429.0</v>
      </c>
      <c r="O6" s="63">
        <v>-0.118</v>
      </c>
      <c r="Q6" s="59" t="s">
        <v>69</v>
      </c>
      <c r="R6" s="64">
        <v>268835.0</v>
      </c>
      <c r="S6" s="65">
        <v>0.0428</v>
      </c>
    </row>
    <row r="7">
      <c r="A7" s="59" t="s">
        <v>70</v>
      </c>
      <c r="B7" s="66">
        <v>387913.0</v>
      </c>
      <c r="C7" s="58"/>
      <c r="E7" s="59" t="s">
        <v>70</v>
      </c>
      <c r="F7" s="66">
        <v>574252.0</v>
      </c>
      <c r="G7" s="58"/>
      <c r="I7" s="59" t="s">
        <v>70</v>
      </c>
      <c r="J7" s="66">
        <v>638577.0</v>
      </c>
      <c r="K7" s="58"/>
      <c r="M7" s="59" t="s">
        <v>70</v>
      </c>
      <c r="N7" s="66">
        <v>400356.0</v>
      </c>
      <c r="O7" s="58"/>
      <c r="Q7" s="59" t="s">
        <v>70</v>
      </c>
      <c r="R7" s="66">
        <v>340616.0</v>
      </c>
      <c r="S7" s="58"/>
    </row>
    <row r="8">
      <c r="A8" s="67" t="s">
        <v>71</v>
      </c>
      <c r="B8" s="68">
        <v>2686849.0</v>
      </c>
      <c r="C8" s="58"/>
      <c r="E8" s="67" t="s">
        <v>71</v>
      </c>
      <c r="F8" s="68">
        <v>1867292.0</v>
      </c>
      <c r="G8" s="58"/>
      <c r="I8" s="67" t="s">
        <v>71</v>
      </c>
      <c r="J8" s="68">
        <v>1883019.0</v>
      </c>
      <c r="K8" s="58"/>
      <c r="M8" s="67" t="s">
        <v>71</v>
      </c>
      <c r="N8" s="68">
        <v>2020592.0</v>
      </c>
      <c r="O8" s="58"/>
      <c r="Q8" s="67" t="s">
        <v>71</v>
      </c>
      <c r="R8" s="68">
        <v>2010032.0</v>
      </c>
      <c r="S8" s="58"/>
    </row>
    <row r="9">
      <c r="A9" s="67" t="s">
        <v>72</v>
      </c>
      <c r="B9" s="68">
        <v>929855.0</v>
      </c>
      <c r="C9" s="58"/>
      <c r="E9" s="67" t="s">
        <v>72</v>
      </c>
      <c r="F9" s="68">
        <v>502043.0</v>
      </c>
      <c r="G9" s="58"/>
      <c r="I9" s="67" t="s">
        <v>72</v>
      </c>
      <c r="J9" s="68">
        <v>634969.0</v>
      </c>
      <c r="K9" s="58"/>
      <c r="M9" s="67" t="s">
        <v>72</v>
      </c>
      <c r="N9" s="68">
        <v>746856.0</v>
      </c>
      <c r="O9" s="58"/>
      <c r="Q9" s="67" t="s">
        <v>72</v>
      </c>
      <c r="R9" s="68">
        <v>592636.0</v>
      </c>
      <c r="S9" s="58"/>
    </row>
    <row r="10">
      <c r="A10" s="69" t="s">
        <v>73</v>
      </c>
      <c r="B10" s="70">
        <v>3616705.0</v>
      </c>
      <c r="C10" s="61"/>
      <c r="E10" s="69" t="s">
        <v>73</v>
      </c>
      <c r="F10" s="70">
        <v>2369335.0</v>
      </c>
      <c r="G10" s="61"/>
      <c r="I10" s="69" t="s">
        <v>73</v>
      </c>
      <c r="J10" s="70">
        <v>2517988.0</v>
      </c>
      <c r="K10" s="61"/>
      <c r="M10" s="69" t="s">
        <v>73</v>
      </c>
      <c r="N10" s="70">
        <v>2767448.0</v>
      </c>
      <c r="O10" s="61"/>
      <c r="Q10" s="69" t="s">
        <v>73</v>
      </c>
      <c r="R10" s="70">
        <v>2602668.0</v>
      </c>
      <c r="S10" s="61"/>
    </row>
    <row r="11">
      <c r="A11" s="71" t="s">
        <v>74</v>
      </c>
      <c r="B11" s="72">
        <v>0.4679</v>
      </c>
      <c r="C11" s="73">
        <v>2.14</v>
      </c>
      <c r="E11" s="71" t="s">
        <v>74</v>
      </c>
      <c r="F11" s="72">
        <v>0.3106</v>
      </c>
      <c r="G11" s="73">
        <v>3.22</v>
      </c>
      <c r="I11" s="71" t="s">
        <v>74</v>
      </c>
      <c r="J11" s="72">
        <v>0.3127</v>
      </c>
      <c r="K11" s="73">
        <v>3.2</v>
      </c>
      <c r="M11" s="71" t="s">
        <v>74</v>
      </c>
      <c r="N11" s="72">
        <v>0.3665</v>
      </c>
      <c r="O11" s="73">
        <v>2.73</v>
      </c>
      <c r="Q11" s="71" t="s">
        <v>74</v>
      </c>
      <c r="R11" s="72">
        <v>0.3975</v>
      </c>
      <c r="S11" s="73">
        <v>2.52</v>
      </c>
    </row>
    <row r="12">
      <c r="A12" s="74" t="s">
        <v>75</v>
      </c>
      <c r="B12" s="75">
        <v>3047729.0</v>
      </c>
      <c r="C12" s="58"/>
      <c r="E12" s="74" t="s">
        <v>75</v>
      </c>
      <c r="F12" s="75">
        <v>3277916.0</v>
      </c>
      <c r="G12" s="58"/>
      <c r="I12" s="74" t="s">
        <v>75</v>
      </c>
      <c r="J12" s="75">
        <v>2152904.0</v>
      </c>
      <c r="K12" s="58"/>
      <c r="M12" s="74" t="s">
        <v>75</v>
      </c>
      <c r="N12" s="75">
        <v>2838199.0</v>
      </c>
      <c r="O12" s="58"/>
      <c r="Q12" s="74" t="s">
        <v>75</v>
      </c>
      <c r="R12" s="75">
        <v>2593301.0</v>
      </c>
      <c r="S12" s="58"/>
    </row>
    <row r="13">
      <c r="A13" s="76"/>
      <c r="B13" s="77"/>
      <c r="C13" s="58"/>
      <c r="E13" s="76"/>
      <c r="F13" s="77"/>
      <c r="G13" s="58"/>
      <c r="I13" s="76"/>
      <c r="J13" s="77"/>
      <c r="K13" s="58"/>
      <c r="M13" s="76"/>
      <c r="N13" s="77"/>
      <c r="O13" s="58"/>
      <c r="Q13" s="76"/>
      <c r="R13" s="77"/>
      <c r="S13" s="58"/>
    </row>
    <row r="14">
      <c r="A14" s="74" t="s">
        <v>76</v>
      </c>
      <c r="B14" s="75">
        <v>6664434.0</v>
      </c>
      <c r="C14" s="58"/>
      <c r="E14" s="74" t="s">
        <v>76</v>
      </c>
      <c r="F14" s="75">
        <v>5647250.0</v>
      </c>
      <c r="G14" s="58"/>
      <c r="I14" s="74" t="s">
        <v>76</v>
      </c>
      <c r="J14" s="75">
        <v>4670893.0</v>
      </c>
      <c r="K14" s="58"/>
      <c r="M14" s="74" t="s">
        <v>76</v>
      </c>
      <c r="N14" s="75">
        <v>5605647.0</v>
      </c>
      <c r="O14" s="58"/>
      <c r="Q14" s="74" t="s">
        <v>76</v>
      </c>
      <c r="R14" s="75">
        <v>5195969.0</v>
      </c>
      <c r="S14" s="58"/>
    </row>
    <row r="15">
      <c r="A15" s="78" t="s">
        <v>77</v>
      </c>
      <c r="B15" s="79">
        <v>1065124.0</v>
      </c>
      <c r="C15" s="58"/>
      <c r="E15" s="78" t="s">
        <v>77</v>
      </c>
      <c r="F15" s="79">
        <v>1980939.0</v>
      </c>
      <c r="G15" s="58"/>
      <c r="I15" s="78" t="s">
        <v>77</v>
      </c>
      <c r="J15" s="79">
        <v>3380333.0</v>
      </c>
      <c r="K15" s="58"/>
      <c r="M15" s="78" t="s">
        <v>77</v>
      </c>
      <c r="N15" s="79">
        <v>1944593.0</v>
      </c>
      <c r="O15" s="58"/>
      <c r="Q15" s="78" t="s">
        <v>77</v>
      </c>
      <c r="R15" s="79">
        <v>1351204.0</v>
      </c>
      <c r="S15" s="58"/>
    </row>
    <row r="16">
      <c r="A16" s="78" t="s">
        <v>78</v>
      </c>
      <c r="B16" s="80"/>
      <c r="C16" s="58"/>
      <c r="E16" s="78" t="s">
        <v>78</v>
      </c>
      <c r="F16" s="80"/>
      <c r="G16" s="58"/>
      <c r="I16" s="78" t="s">
        <v>78</v>
      </c>
      <c r="J16" s="80"/>
      <c r="K16" s="58"/>
      <c r="M16" s="78" t="s">
        <v>78</v>
      </c>
      <c r="N16" s="80"/>
      <c r="O16" s="58"/>
      <c r="Q16" s="78" t="s">
        <v>78</v>
      </c>
      <c r="R16" s="80"/>
      <c r="S16" s="58"/>
    </row>
    <row r="17">
      <c r="A17" s="78" t="s">
        <v>79</v>
      </c>
      <c r="B17" s="81">
        <v>0.0</v>
      </c>
      <c r="C17" s="58"/>
      <c r="E17" s="78" t="s">
        <v>79</v>
      </c>
      <c r="F17" s="81">
        <v>0.0</v>
      </c>
      <c r="G17" s="58"/>
      <c r="I17" s="78" t="s">
        <v>79</v>
      </c>
      <c r="J17" s="79">
        <v>80333.0</v>
      </c>
      <c r="K17" s="58"/>
      <c r="M17" s="78" t="s">
        <v>79</v>
      </c>
      <c r="N17" s="81">
        <v>0.0</v>
      </c>
      <c r="O17" s="58"/>
      <c r="Q17" s="78" t="s">
        <v>79</v>
      </c>
      <c r="R17" s="79">
        <v>71093.0</v>
      </c>
      <c r="S17" s="58"/>
    </row>
    <row r="18">
      <c r="A18" s="82"/>
      <c r="B18" s="80"/>
      <c r="C18" s="58"/>
      <c r="E18" s="82"/>
      <c r="F18" s="80"/>
      <c r="G18" s="58"/>
      <c r="I18" s="82"/>
      <c r="J18" s="80"/>
      <c r="K18" s="58"/>
      <c r="M18" s="82"/>
      <c r="N18" s="80"/>
      <c r="O18" s="58"/>
      <c r="Q18" s="82"/>
      <c r="R18" s="80"/>
      <c r="S18" s="58"/>
    </row>
    <row r="19">
      <c r="A19" s="59" t="s">
        <v>80</v>
      </c>
      <c r="B19" s="66">
        <v>1065124.0</v>
      </c>
      <c r="C19" s="58"/>
      <c r="E19" s="59" t="s">
        <v>80</v>
      </c>
      <c r="F19" s="66">
        <v>1980939.0</v>
      </c>
      <c r="G19" s="58"/>
      <c r="I19" s="59" t="s">
        <v>80</v>
      </c>
      <c r="J19" s="66">
        <v>3300000.0</v>
      </c>
      <c r="K19" s="58"/>
      <c r="M19" s="59" t="s">
        <v>80</v>
      </c>
      <c r="N19" s="66">
        <v>1944593.0</v>
      </c>
      <c r="O19" s="58"/>
      <c r="Q19" s="59" t="s">
        <v>80</v>
      </c>
      <c r="R19" s="66">
        <v>1280111.0</v>
      </c>
      <c r="S19" s="58"/>
    </row>
    <row r="20">
      <c r="A20" s="83" t="s">
        <v>81</v>
      </c>
      <c r="B20" s="84">
        <v>10651.0</v>
      </c>
      <c r="C20" s="58"/>
      <c r="E20" s="83" t="s">
        <v>81</v>
      </c>
      <c r="F20" s="84">
        <v>19809.0</v>
      </c>
      <c r="G20" s="58"/>
      <c r="I20" s="83" t="s">
        <v>81</v>
      </c>
      <c r="J20" s="84">
        <v>33000.0</v>
      </c>
      <c r="K20" s="58"/>
      <c r="M20" s="83" t="s">
        <v>81</v>
      </c>
      <c r="N20" s="84">
        <v>19446.0</v>
      </c>
      <c r="O20" s="58"/>
      <c r="Q20" s="83" t="s">
        <v>81</v>
      </c>
      <c r="R20" s="84">
        <v>12801.0</v>
      </c>
      <c r="S20" s="58"/>
    </row>
    <row r="21">
      <c r="A21" s="85"/>
      <c r="B21" s="86"/>
      <c r="C21" s="86"/>
      <c r="E21" s="85"/>
      <c r="F21" s="86"/>
      <c r="G21" s="86"/>
      <c r="I21" s="85"/>
      <c r="J21" s="86"/>
      <c r="K21" s="86"/>
      <c r="M21" s="85"/>
      <c r="N21" s="86"/>
      <c r="O21" s="86"/>
      <c r="Q21" s="85"/>
      <c r="R21" s="86"/>
      <c r="S21" s="86"/>
    </row>
    <row r="22">
      <c r="A22" s="87" t="s">
        <v>82</v>
      </c>
      <c r="B22" s="88" t="s">
        <v>83</v>
      </c>
      <c r="C22" s="88" t="s">
        <v>84</v>
      </c>
      <c r="E22" s="85"/>
      <c r="F22" s="86"/>
      <c r="G22" s="86"/>
      <c r="I22" s="89" t="s">
        <v>82</v>
      </c>
      <c r="J22" s="90" t="s">
        <v>83</v>
      </c>
      <c r="K22" s="90" t="s">
        <v>84</v>
      </c>
      <c r="M22" s="85"/>
      <c r="N22" s="86"/>
      <c r="O22" s="86"/>
      <c r="Q22" s="85"/>
      <c r="R22" s="86"/>
      <c r="S22" s="86"/>
    </row>
    <row r="23">
      <c r="A23" s="91" t="s">
        <v>85</v>
      </c>
      <c r="B23" s="92">
        <v>0.0</v>
      </c>
      <c r="C23" s="93">
        <v>0.0</v>
      </c>
      <c r="E23" s="87" t="s">
        <v>82</v>
      </c>
      <c r="F23" s="88" t="s">
        <v>83</v>
      </c>
      <c r="G23" s="88" t="s">
        <v>84</v>
      </c>
      <c r="I23" s="94" t="s">
        <v>85</v>
      </c>
      <c r="J23" s="92">
        <v>0.01</v>
      </c>
      <c r="K23" s="95">
        <v>0.0</v>
      </c>
      <c r="M23" s="87" t="s">
        <v>82</v>
      </c>
      <c r="N23" s="88" t="s">
        <v>83</v>
      </c>
      <c r="O23" s="88" t="s">
        <v>84</v>
      </c>
      <c r="Q23" s="87" t="s">
        <v>82</v>
      </c>
      <c r="R23" s="88" t="s">
        <v>83</v>
      </c>
      <c r="S23" s="88" t="s">
        <v>84</v>
      </c>
    </row>
    <row r="24">
      <c r="A24" s="91" t="s">
        <v>86</v>
      </c>
      <c r="B24" s="92">
        <v>0.19</v>
      </c>
      <c r="C24" s="96">
        <v>0.0</v>
      </c>
      <c r="E24" s="91" t="s">
        <v>85</v>
      </c>
      <c r="F24" s="92">
        <v>0.01</v>
      </c>
      <c r="G24" s="93">
        <v>0.0</v>
      </c>
      <c r="I24" s="94" t="s">
        <v>86</v>
      </c>
      <c r="J24" s="92">
        <v>0.27</v>
      </c>
      <c r="K24" s="97">
        <v>0.0</v>
      </c>
      <c r="M24" s="91" t="s">
        <v>85</v>
      </c>
      <c r="N24" s="92">
        <v>0.0</v>
      </c>
      <c r="O24" s="93">
        <v>0.0</v>
      </c>
      <c r="Q24" s="91" t="s">
        <v>85</v>
      </c>
      <c r="R24" s="92">
        <v>0.0</v>
      </c>
      <c r="S24" s="93">
        <v>0.0</v>
      </c>
    </row>
    <row r="25">
      <c r="A25" s="91" t="s">
        <v>87</v>
      </c>
      <c r="B25" s="92">
        <v>0.4</v>
      </c>
      <c r="C25" s="98">
        <v>0.0</v>
      </c>
      <c r="E25" s="91" t="s">
        <v>86</v>
      </c>
      <c r="F25" s="92">
        <v>0.22</v>
      </c>
      <c r="G25" s="96">
        <v>0.0</v>
      </c>
      <c r="I25" s="94" t="s">
        <v>87</v>
      </c>
      <c r="J25" s="92">
        <v>0.4</v>
      </c>
      <c r="K25" s="99">
        <v>0.0</v>
      </c>
      <c r="M25" s="91" t="s">
        <v>86</v>
      </c>
      <c r="N25" s="92">
        <v>0.24</v>
      </c>
      <c r="O25" s="96">
        <v>0.0</v>
      </c>
      <c r="Q25" s="91" t="s">
        <v>86</v>
      </c>
      <c r="R25" s="92">
        <v>0.23</v>
      </c>
      <c r="S25" s="96">
        <v>0.0</v>
      </c>
    </row>
    <row r="26">
      <c r="A26" s="91" t="s">
        <v>88</v>
      </c>
      <c r="B26" s="92">
        <v>0.0</v>
      </c>
      <c r="C26" s="98">
        <v>0.0</v>
      </c>
      <c r="E26" s="91" t="s">
        <v>87</v>
      </c>
      <c r="F26" s="92">
        <v>0.33</v>
      </c>
      <c r="G26" s="98">
        <v>0.0</v>
      </c>
      <c r="I26" s="94" t="s">
        <v>88</v>
      </c>
      <c r="J26" s="92">
        <v>0.0</v>
      </c>
      <c r="K26" s="99">
        <v>0.0</v>
      </c>
      <c r="M26" s="91" t="s">
        <v>87</v>
      </c>
      <c r="N26" s="92">
        <v>0.36</v>
      </c>
      <c r="O26" s="98">
        <v>0.0</v>
      </c>
      <c r="Q26" s="91" t="s">
        <v>87</v>
      </c>
      <c r="R26" s="92">
        <v>0.39</v>
      </c>
      <c r="S26" s="98">
        <v>0.0</v>
      </c>
    </row>
    <row r="27">
      <c r="A27" s="91" t="s">
        <v>89</v>
      </c>
      <c r="B27" s="92">
        <v>0.0</v>
      </c>
      <c r="C27" s="98">
        <v>0.0</v>
      </c>
      <c r="E27" s="91" t="s">
        <v>88</v>
      </c>
      <c r="F27" s="92">
        <v>0.0</v>
      </c>
      <c r="G27" s="98">
        <v>0.0</v>
      </c>
      <c r="I27" s="94" t="s">
        <v>89</v>
      </c>
      <c r="J27" s="92">
        <v>0.0</v>
      </c>
      <c r="K27" s="99">
        <v>0.0</v>
      </c>
      <c r="M27" s="91" t="s">
        <v>88</v>
      </c>
      <c r="N27" s="92">
        <v>0.0</v>
      </c>
      <c r="O27" s="98">
        <v>0.0</v>
      </c>
      <c r="Q27" s="91" t="s">
        <v>88</v>
      </c>
      <c r="R27" s="92">
        <v>0.0</v>
      </c>
      <c r="S27" s="98">
        <v>0.0</v>
      </c>
    </row>
    <row r="28">
      <c r="A28" s="91" t="s">
        <v>90</v>
      </c>
      <c r="B28" s="92">
        <v>0.0</v>
      </c>
      <c r="C28" s="98">
        <v>0.0</v>
      </c>
      <c r="E28" s="91" t="s">
        <v>89</v>
      </c>
      <c r="F28" s="92">
        <v>0.0</v>
      </c>
      <c r="G28" s="98">
        <v>0.0</v>
      </c>
      <c r="I28" s="94" t="s">
        <v>90</v>
      </c>
      <c r="J28" s="92">
        <v>0.0</v>
      </c>
      <c r="K28" s="99">
        <v>0.0</v>
      </c>
      <c r="M28" s="91" t="s">
        <v>89</v>
      </c>
      <c r="N28" s="92">
        <v>0.0</v>
      </c>
      <c r="O28" s="98">
        <v>0.0</v>
      </c>
      <c r="Q28" s="91" t="s">
        <v>89</v>
      </c>
      <c r="R28" s="92">
        <v>0.0</v>
      </c>
      <c r="S28" s="98">
        <v>0.0</v>
      </c>
    </row>
    <row r="29">
      <c r="A29" s="91" t="s">
        <v>91</v>
      </c>
      <c r="B29" s="92">
        <v>0.0</v>
      </c>
      <c r="C29" s="98">
        <v>0.0</v>
      </c>
      <c r="E29" s="91" t="s">
        <v>90</v>
      </c>
      <c r="F29" s="92">
        <v>0.0</v>
      </c>
      <c r="G29" s="98">
        <v>0.0</v>
      </c>
      <c r="I29" s="94" t="s">
        <v>91</v>
      </c>
      <c r="J29" s="92">
        <v>0.0</v>
      </c>
      <c r="K29" s="99">
        <v>0.0</v>
      </c>
      <c r="M29" s="91" t="s">
        <v>90</v>
      </c>
      <c r="N29" s="92">
        <v>0.0</v>
      </c>
      <c r="O29" s="98">
        <v>0.0</v>
      </c>
      <c r="Q29" s="91" t="s">
        <v>90</v>
      </c>
      <c r="R29" s="92">
        <v>0.0</v>
      </c>
      <c r="S29" s="98">
        <v>0.0</v>
      </c>
    </row>
    <row r="30">
      <c r="A30" s="91" t="s">
        <v>92</v>
      </c>
      <c r="B30" s="92">
        <v>0.04</v>
      </c>
      <c r="C30" s="98">
        <v>0.0</v>
      </c>
      <c r="E30" s="91" t="s">
        <v>91</v>
      </c>
      <c r="F30" s="92">
        <v>0.0</v>
      </c>
      <c r="G30" s="98">
        <v>0.0</v>
      </c>
      <c r="I30" s="94" t="s">
        <v>92</v>
      </c>
      <c r="J30" s="92">
        <v>0.05</v>
      </c>
      <c r="K30" s="99">
        <v>0.0</v>
      </c>
      <c r="M30" s="91" t="s">
        <v>91</v>
      </c>
      <c r="N30" s="92">
        <v>0.0</v>
      </c>
      <c r="O30" s="98">
        <v>0.0</v>
      </c>
      <c r="Q30" s="91" t="s">
        <v>91</v>
      </c>
      <c r="R30" s="92">
        <v>0.0</v>
      </c>
      <c r="S30" s="98">
        <v>0.0</v>
      </c>
    </row>
    <row r="31">
      <c r="A31" s="91" t="s">
        <v>93</v>
      </c>
      <c r="B31" s="92">
        <v>0.1</v>
      </c>
      <c r="C31" s="98">
        <v>0.0</v>
      </c>
      <c r="E31" s="91" t="s">
        <v>92</v>
      </c>
      <c r="F31" s="92">
        <v>0.04</v>
      </c>
      <c r="G31" s="98">
        <v>0.0</v>
      </c>
      <c r="I31" s="94" t="s">
        <v>93</v>
      </c>
      <c r="J31" s="92">
        <v>0.08</v>
      </c>
      <c r="K31" s="99">
        <v>0.0</v>
      </c>
      <c r="M31" s="91" t="s">
        <v>92</v>
      </c>
      <c r="N31" s="92">
        <v>0.05</v>
      </c>
      <c r="O31" s="98">
        <v>0.0</v>
      </c>
      <c r="Q31" s="91" t="s">
        <v>92</v>
      </c>
      <c r="R31" s="92">
        <v>0.05</v>
      </c>
      <c r="S31" s="98">
        <v>0.0</v>
      </c>
    </row>
    <row r="32">
      <c r="A32" s="100" t="s">
        <v>94</v>
      </c>
      <c r="B32" s="101">
        <v>0.4</v>
      </c>
      <c r="C32" s="102">
        <v>2.26</v>
      </c>
      <c r="E32" s="91" t="s">
        <v>93</v>
      </c>
      <c r="F32" s="92">
        <v>0.05</v>
      </c>
      <c r="G32" s="98">
        <v>0.0</v>
      </c>
      <c r="I32" s="100" t="s">
        <v>94</v>
      </c>
      <c r="J32" s="101">
        <v>0.4</v>
      </c>
      <c r="K32" s="102">
        <v>3.21</v>
      </c>
      <c r="M32" s="91" t="s">
        <v>93</v>
      </c>
      <c r="N32" s="92">
        <v>0.08</v>
      </c>
      <c r="O32" s="98">
        <v>0.0</v>
      </c>
      <c r="Q32" s="91" t="s">
        <v>93</v>
      </c>
      <c r="R32" s="92">
        <v>0.06</v>
      </c>
      <c r="S32" s="98">
        <v>0.0</v>
      </c>
    </row>
    <row r="33">
      <c r="A33" s="100" t="s">
        <v>95</v>
      </c>
      <c r="B33" s="101">
        <v>0.14</v>
      </c>
      <c r="C33" s="102">
        <v>5.64</v>
      </c>
      <c r="E33" s="100" t="s">
        <v>94</v>
      </c>
      <c r="F33" s="101">
        <v>0.33</v>
      </c>
      <c r="G33" s="102">
        <v>3.18</v>
      </c>
      <c r="I33" s="100" t="s">
        <v>95</v>
      </c>
      <c r="J33" s="101">
        <v>0.14</v>
      </c>
      <c r="K33" s="102">
        <v>8.26</v>
      </c>
      <c r="M33" s="100" t="s">
        <v>94</v>
      </c>
      <c r="N33" s="101">
        <v>0.36</v>
      </c>
      <c r="O33" s="102">
        <v>2.84</v>
      </c>
      <c r="Q33" s="100" t="s">
        <v>94</v>
      </c>
      <c r="R33" s="101">
        <v>0.39</v>
      </c>
      <c r="S33" s="102">
        <v>2.51</v>
      </c>
    </row>
    <row r="34">
      <c r="A34" s="103" t="s">
        <v>96</v>
      </c>
      <c r="B34" s="104">
        <v>0.47</v>
      </c>
      <c r="C34" s="105">
        <v>2.14</v>
      </c>
      <c r="E34" s="100" t="s">
        <v>95</v>
      </c>
      <c r="F34" s="101">
        <v>0.09</v>
      </c>
      <c r="G34" s="102">
        <v>8.0</v>
      </c>
      <c r="I34" s="103" t="s">
        <v>96</v>
      </c>
      <c r="J34" s="104">
        <v>0.31</v>
      </c>
      <c r="K34" s="105">
        <v>3.2</v>
      </c>
      <c r="M34" s="100" t="s">
        <v>95</v>
      </c>
      <c r="N34" s="101">
        <v>0.13</v>
      </c>
      <c r="O34" s="102">
        <v>0.25</v>
      </c>
      <c r="Q34" s="100" t="s">
        <v>95</v>
      </c>
      <c r="R34" s="101">
        <v>0.11</v>
      </c>
      <c r="S34" s="102">
        <v>0.12</v>
      </c>
    </row>
    <row r="35">
      <c r="A35" s="91" t="s">
        <v>97</v>
      </c>
      <c r="B35" s="92">
        <v>0.06</v>
      </c>
      <c r="C35" s="93">
        <v>0.0</v>
      </c>
      <c r="E35" s="103" t="s">
        <v>96</v>
      </c>
      <c r="F35" s="104">
        <v>0.31</v>
      </c>
      <c r="G35" s="105">
        <v>3.22</v>
      </c>
      <c r="I35" s="94" t="s">
        <v>97</v>
      </c>
      <c r="J35" s="92">
        <v>0.0</v>
      </c>
      <c r="K35" s="95">
        <v>0.0</v>
      </c>
      <c r="M35" s="103" t="s">
        <v>96</v>
      </c>
      <c r="N35" s="104">
        <v>0.37</v>
      </c>
      <c r="O35" s="105">
        <v>2.73</v>
      </c>
      <c r="Q35" s="103" t="s">
        <v>96</v>
      </c>
      <c r="R35" s="104">
        <v>0.4</v>
      </c>
      <c r="S35" s="105">
        <v>2.52</v>
      </c>
    </row>
    <row r="36">
      <c r="A36" s="91" t="s">
        <v>98</v>
      </c>
      <c r="B36" s="92">
        <v>0.05</v>
      </c>
      <c r="C36" s="93">
        <v>0.0</v>
      </c>
      <c r="E36" s="91" t="s">
        <v>97</v>
      </c>
      <c r="F36" s="92">
        <v>0.07</v>
      </c>
      <c r="G36" s="93">
        <v>0.0</v>
      </c>
      <c r="I36" s="94" t="s">
        <v>98</v>
      </c>
      <c r="J36" s="92">
        <v>0.06</v>
      </c>
      <c r="K36" s="95">
        <v>0.0</v>
      </c>
      <c r="M36" s="91" t="s">
        <v>97</v>
      </c>
      <c r="N36" s="92">
        <v>0.07</v>
      </c>
      <c r="O36" s="93">
        <v>0.0</v>
      </c>
      <c r="Q36" s="91" t="s">
        <v>97</v>
      </c>
      <c r="R36" s="92">
        <v>0.07</v>
      </c>
      <c r="S36" s="93">
        <v>0.0</v>
      </c>
    </row>
    <row r="37">
      <c r="A37" s="91" t="s">
        <v>99</v>
      </c>
      <c r="B37" s="92">
        <v>0.03</v>
      </c>
      <c r="C37" s="96">
        <v>0.0</v>
      </c>
      <c r="E37" s="91" t="s">
        <v>98</v>
      </c>
      <c r="F37" s="92">
        <v>0.08</v>
      </c>
      <c r="G37" s="93">
        <v>0.0</v>
      </c>
      <c r="I37" s="94" t="s">
        <v>99</v>
      </c>
      <c r="J37" s="92">
        <v>0.01</v>
      </c>
      <c r="K37" s="97">
        <v>0.0</v>
      </c>
      <c r="M37" s="91" t="s">
        <v>98</v>
      </c>
      <c r="N37" s="92">
        <v>0.06</v>
      </c>
      <c r="O37" s="93">
        <v>0.0</v>
      </c>
      <c r="Q37" s="91" t="s">
        <v>98</v>
      </c>
      <c r="R37" s="92">
        <v>0.06</v>
      </c>
      <c r="S37" s="93">
        <v>0.0</v>
      </c>
    </row>
    <row r="38">
      <c r="A38" s="106"/>
      <c r="B38" s="106"/>
      <c r="C38" s="107"/>
      <c r="E38" s="91" t="s">
        <v>99</v>
      </c>
      <c r="F38" s="92">
        <v>0.01</v>
      </c>
      <c r="G38" s="96">
        <v>0.0</v>
      </c>
      <c r="I38" s="108"/>
      <c r="J38" s="108"/>
      <c r="K38" s="109"/>
      <c r="M38" s="91" t="s">
        <v>99</v>
      </c>
      <c r="N38" s="92">
        <v>0.02</v>
      </c>
      <c r="O38" s="96">
        <v>0.0</v>
      </c>
      <c r="Q38" s="91" t="s">
        <v>99</v>
      </c>
      <c r="R38" s="92">
        <v>0.01</v>
      </c>
      <c r="S38" s="96">
        <v>0.0</v>
      </c>
    </row>
    <row r="39">
      <c r="A39" s="110" t="s">
        <v>100</v>
      </c>
      <c r="B39" s="111">
        <v>0.1378</v>
      </c>
      <c r="C39" s="86"/>
      <c r="E39" s="106"/>
      <c r="F39" s="106"/>
      <c r="G39" s="107"/>
      <c r="I39" s="110" t="s">
        <v>100</v>
      </c>
      <c r="J39" s="111">
        <v>0.4099</v>
      </c>
      <c r="K39" s="86"/>
      <c r="M39" s="106"/>
      <c r="N39" s="106"/>
      <c r="O39" s="107"/>
      <c r="Q39" s="106"/>
      <c r="R39" s="106"/>
      <c r="S39" s="107"/>
    </row>
    <row r="40">
      <c r="E40" s="110" t="s">
        <v>100</v>
      </c>
      <c r="F40" s="111">
        <v>0.2597</v>
      </c>
      <c r="G40" s="86"/>
      <c r="M40" s="110" t="s">
        <v>100</v>
      </c>
      <c r="N40" s="111">
        <v>0.2576</v>
      </c>
      <c r="O40" s="86"/>
      <c r="Q40" s="110" t="s">
        <v>100</v>
      </c>
      <c r="R40" s="111">
        <v>0.1955</v>
      </c>
      <c r="S40" s="86"/>
    </row>
  </sheetData>
  <mergeCells count="5">
    <mergeCell ref="A3:B3"/>
    <mergeCell ref="E3:F3"/>
    <mergeCell ref="I3:J3"/>
    <mergeCell ref="M3:N3"/>
    <mergeCell ref="Q3:R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  <col customWidth="1" min="3" max="3" width="10.25"/>
    <col customWidth="1" min="5" max="5" width="15.75"/>
    <col customWidth="1" min="6" max="6" width="13.88"/>
    <col customWidth="1" min="7" max="7" width="10.25"/>
    <col customWidth="1" min="9" max="9" width="15.75"/>
    <col customWidth="1" min="10" max="10" width="13.88"/>
    <col customWidth="1" min="11" max="11" width="10.25"/>
    <col customWidth="1" min="13" max="13" width="15.75"/>
    <col customWidth="1" min="14" max="14" width="13.88"/>
    <col customWidth="1" min="15" max="15" width="10.25"/>
    <col customWidth="1" min="17" max="17" width="15.75"/>
    <col customWidth="1" min="18" max="18" width="13.88"/>
    <col customWidth="1" min="19" max="19" width="10.25"/>
  </cols>
  <sheetData>
    <row r="1">
      <c r="A1" s="112" t="s">
        <v>62</v>
      </c>
      <c r="B1" s="113"/>
      <c r="C1" s="113"/>
      <c r="D1" s="113"/>
      <c r="E1" s="112" t="s">
        <v>63</v>
      </c>
      <c r="F1" s="113"/>
      <c r="G1" s="113"/>
      <c r="H1" s="113"/>
      <c r="I1" s="112" t="s">
        <v>64</v>
      </c>
      <c r="J1" s="113"/>
      <c r="K1" s="113"/>
      <c r="L1" s="113"/>
      <c r="M1" s="112" t="s">
        <v>65</v>
      </c>
      <c r="N1" s="113"/>
      <c r="O1" s="113"/>
      <c r="P1" s="113"/>
      <c r="Q1" s="114">
        <v>45413.0</v>
      </c>
      <c r="R1" s="113"/>
      <c r="S1" s="113"/>
      <c r="T1" s="113"/>
      <c r="U1" s="113"/>
      <c r="V1" s="113"/>
      <c r="W1" s="113"/>
      <c r="X1" s="113"/>
      <c r="Y1" s="113"/>
      <c r="Z1" s="113"/>
    </row>
    <row r="2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>
      <c r="A3" s="115" t="s">
        <v>101</v>
      </c>
      <c r="B3" s="57"/>
      <c r="C3" s="116"/>
      <c r="D3" s="113"/>
      <c r="E3" s="115" t="s">
        <v>101</v>
      </c>
      <c r="F3" s="57"/>
      <c r="G3" s="116"/>
      <c r="H3" s="113"/>
      <c r="I3" s="115" t="s">
        <v>101</v>
      </c>
      <c r="J3" s="57"/>
      <c r="K3" s="116"/>
      <c r="L3" s="113"/>
      <c r="M3" s="115" t="s">
        <v>101</v>
      </c>
      <c r="N3" s="57"/>
      <c r="O3" s="116"/>
      <c r="P3" s="113"/>
      <c r="Q3" s="115" t="s">
        <v>101</v>
      </c>
      <c r="R3" s="57"/>
      <c r="S3" s="116"/>
      <c r="T3" s="113"/>
      <c r="U3" s="113"/>
      <c r="V3" s="113"/>
      <c r="W3" s="113"/>
      <c r="X3" s="113"/>
      <c r="Y3" s="113"/>
      <c r="Z3" s="113"/>
    </row>
    <row r="4">
      <c r="A4" s="117" t="s">
        <v>67</v>
      </c>
      <c r="B4" s="118">
        <v>1.085367E7</v>
      </c>
      <c r="C4" s="116"/>
      <c r="D4" s="113"/>
      <c r="E4" s="117" t="s">
        <v>67</v>
      </c>
      <c r="F4" s="118">
        <v>1.1174246E7</v>
      </c>
      <c r="G4" s="116"/>
      <c r="H4" s="113"/>
      <c r="I4" s="117" t="s">
        <v>67</v>
      </c>
      <c r="J4" s="118">
        <v>1.0645108E7</v>
      </c>
      <c r="K4" s="116"/>
      <c r="L4" s="113"/>
      <c r="M4" s="117" t="s">
        <v>67</v>
      </c>
      <c r="N4" s="118">
        <v>9672438.0</v>
      </c>
      <c r="O4" s="116"/>
      <c r="P4" s="113"/>
      <c r="Q4" s="117" t="s">
        <v>67</v>
      </c>
      <c r="R4" s="118">
        <v>9597758.0</v>
      </c>
      <c r="S4" s="116"/>
      <c r="T4" s="113"/>
      <c r="U4" s="113"/>
      <c r="V4" s="113"/>
      <c r="W4" s="113"/>
      <c r="X4" s="113"/>
      <c r="Y4" s="113"/>
      <c r="Z4" s="113"/>
    </row>
    <row r="5">
      <c r="A5" s="117" t="s">
        <v>68</v>
      </c>
      <c r="B5" s="118">
        <v>1.2910557E7</v>
      </c>
      <c r="C5" s="119"/>
      <c r="D5" s="113"/>
      <c r="E5" s="117" t="s">
        <v>68</v>
      </c>
      <c r="F5" s="118">
        <v>1.0960011E7</v>
      </c>
      <c r="G5" s="119"/>
      <c r="H5" s="113"/>
      <c r="I5" s="117" t="s">
        <v>68</v>
      </c>
      <c r="J5" s="118">
        <v>1.1444188E7</v>
      </c>
      <c r="K5" s="119"/>
      <c r="L5" s="113"/>
      <c r="M5" s="117" t="s">
        <v>68</v>
      </c>
      <c r="N5" s="118">
        <v>1.0907093E7</v>
      </c>
      <c r="O5" s="119"/>
      <c r="P5" s="113"/>
      <c r="Q5" s="117" t="s">
        <v>68</v>
      </c>
      <c r="R5" s="118">
        <v>1.071638E7</v>
      </c>
      <c r="S5" s="119"/>
      <c r="T5" s="113"/>
      <c r="U5" s="113"/>
      <c r="V5" s="113"/>
      <c r="W5" s="113"/>
      <c r="X5" s="113"/>
      <c r="Y5" s="113"/>
      <c r="Z5" s="113"/>
    </row>
    <row r="6">
      <c r="A6" s="117" t="s">
        <v>69</v>
      </c>
      <c r="B6" s="120">
        <v>-2056887.0</v>
      </c>
      <c r="C6" s="121">
        <v>-0.1593</v>
      </c>
      <c r="D6" s="113"/>
      <c r="E6" s="117" t="s">
        <v>69</v>
      </c>
      <c r="F6" s="122">
        <v>214235.0</v>
      </c>
      <c r="G6" s="123">
        <v>0.0195</v>
      </c>
      <c r="H6" s="113"/>
      <c r="I6" s="117" t="s">
        <v>69</v>
      </c>
      <c r="J6" s="120">
        <v>-799079.0</v>
      </c>
      <c r="K6" s="121">
        <v>-0.0698</v>
      </c>
      <c r="L6" s="113"/>
      <c r="M6" s="117" t="s">
        <v>69</v>
      </c>
      <c r="N6" s="120">
        <v>-1234655.0</v>
      </c>
      <c r="O6" s="121">
        <v>-0.1132</v>
      </c>
      <c r="P6" s="113"/>
      <c r="Q6" s="117" t="s">
        <v>69</v>
      </c>
      <c r="R6" s="120">
        <v>-1118622.0</v>
      </c>
      <c r="S6" s="121">
        <v>-0.1044</v>
      </c>
      <c r="T6" s="113"/>
      <c r="U6" s="113"/>
      <c r="V6" s="113"/>
      <c r="W6" s="113"/>
      <c r="X6" s="113"/>
      <c r="Y6" s="113"/>
      <c r="Z6" s="113"/>
    </row>
    <row r="7">
      <c r="A7" s="117" t="s">
        <v>70</v>
      </c>
      <c r="B7" s="124">
        <v>376008.0</v>
      </c>
      <c r="C7" s="116"/>
      <c r="D7" s="113"/>
      <c r="E7" s="117" t="s">
        <v>70</v>
      </c>
      <c r="F7" s="124">
        <v>335129.0</v>
      </c>
      <c r="G7" s="116"/>
      <c r="H7" s="113"/>
      <c r="I7" s="117" t="s">
        <v>70</v>
      </c>
      <c r="J7" s="124">
        <v>405179.0</v>
      </c>
      <c r="K7" s="116"/>
      <c r="L7" s="113"/>
      <c r="M7" s="117" t="s">
        <v>70</v>
      </c>
      <c r="N7" s="124">
        <v>397900.0</v>
      </c>
      <c r="O7" s="116"/>
      <c r="P7" s="113"/>
      <c r="Q7" s="117" t="s">
        <v>70</v>
      </c>
      <c r="R7" s="124">
        <v>351034.0</v>
      </c>
      <c r="S7" s="116"/>
      <c r="T7" s="113"/>
      <c r="U7" s="113"/>
      <c r="V7" s="113"/>
      <c r="W7" s="113"/>
      <c r="X7" s="113"/>
      <c r="Y7" s="113"/>
      <c r="Z7" s="113"/>
    </row>
    <row r="8">
      <c r="A8" s="125" t="s">
        <v>71</v>
      </c>
      <c r="B8" s="126">
        <v>2306090.0</v>
      </c>
      <c r="C8" s="116"/>
      <c r="D8" s="113"/>
      <c r="E8" s="125" t="s">
        <v>71</v>
      </c>
      <c r="F8" s="126">
        <v>1542769.0</v>
      </c>
      <c r="G8" s="116"/>
      <c r="H8" s="113"/>
      <c r="I8" s="125" t="s">
        <v>71</v>
      </c>
      <c r="J8" s="126">
        <v>1769390.0</v>
      </c>
      <c r="K8" s="116"/>
      <c r="L8" s="113"/>
      <c r="M8" s="125" t="s">
        <v>71</v>
      </c>
      <c r="N8" s="126">
        <v>1664576.0</v>
      </c>
      <c r="O8" s="116"/>
      <c r="P8" s="113"/>
      <c r="Q8" s="125" t="s">
        <v>71</v>
      </c>
      <c r="R8" s="126">
        <v>1705287.0</v>
      </c>
      <c r="S8" s="116"/>
      <c r="T8" s="113"/>
      <c r="U8" s="113"/>
      <c r="V8" s="113"/>
      <c r="W8" s="113"/>
      <c r="X8" s="113"/>
      <c r="Y8" s="113"/>
      <c r="Z8" s="113"/>
    </row>
    <row r="9">
      <c r="A9" s="125" t="s">
        <v>72</v>
      </c>
      <c r="B9" s="126">
        <v>1439792.0</v>
      </c>
      <c r="C9" s="116"/>
      <c r="D9" s="113"/>
      <c r="E9" s="125" t="s">
        <v>72</v>
      </c>
      <c r="F9" s="126">
        <v>983631.0</v>
      </c>
      <c r="G9" s="116"/>
      <c r="H9" s="113"/>
      <c r="I9" s="125" t="s">
        <v>72</v>
      </c>
      <c r="J9" s="126">
        <v>1031237.0</v>
      </c>
      <c r="K9" s="116"/>
      <c r="L9" s="113"/>
      <c r="M9" s="125" t="s">
        <v>72</v>
      </c>
      <c r="N9" s="126">
        <v>999308.0</v>
      </c>
      <c r="O9" s="116"/>
      <c r="P9" s="113"/>
      <c r="Q9" s="125" t="s">
        <v>72</v>
      </c>
      <c r="R9" s="126">
        <v>980204.0</v>
      </c>
      <c r="S9" s="116"/>
      <c r="T9" s="113"/>
      <c r="U9" s="113"/>
      <c r="V9" s="113"/>
      <c r="W9" s="113"/>
      <c r="X9" s="113"/>
      <c r="Y9" s="113"/>
      <c r="Z9" s="113"/>
    </row>
    <row r="10">
      <c r="A10" s="127" t="s">
        <v>73</v>
      </c>
      <c r="B10" s="128">
        <v>3745882.0</v>
      </c>
      <c r="C10" s="119"/>
      <c r="D10" s="113"/>
      <c r="E10" s="127" t="s">
        <v>73</v>
      </c>
      <c r="F10" s="128">
        <v>2526400.0</v>
      </c>
      <c r="G10" s="119"/>
      <c r="H10" s="113"/>
      <c r="I10" s="127" t="s">
        <v>73</v>
      </c>
      <c r="J10" s="128">
        <v>2800627.0</v>
      </c>
      <c r="K10" s="119"/>
      <c r="L10" s="113"/>
      <c r="M10" s="127" t="s">
        <v>73</v>
      </c>
      <c r="N10" s="128">
        <v>2663884.0</v>
      </c>
      <c r="O10" s="119"/>
      <c r="P10" s="113"/>
      <c r="Q10" s="127" t="s">
        <v>73</v>
      </c>
      <c r="R10" s="128">
        <v>2685490.0</v>
      </c>
      <c r="S10" s="119"/>
      <c r="T10" s="113"/>
      <c r="U10" s="113"/>
      <c r="V10" s="113"/>
      <c r="W10" s="113"/>
      <c r="X10" s="113"/>
      <c r="Y10" s="113"/>
      <c r="Z10" s="113"/>
    </row>
    <row r="11">
      <c r="A11" s="129" t="s">
        <v>74</v>
      </c>
      <c r="B11" s="130">
        <v>0.3451</v>
      </c>
      <c r="C11" s="131">
        <v>3.0</v>
      </c>
      <c r="D11" s="113"/>
      <c r="E11" s="129" t="s">
        <v>74</v>
      </c>
      <c r="F11" s="130">
        <v>0.2261</v>
      </c>
      <c r="G11" s="131">
        <v>4.56</v>
      </c>
      <c r="H11" s="113"/>
      <c r="I11" s="129" t="s">
        <v>74</v>
      </c>
      <c r="J11" s="130">
        <v>0.2631</v>
      </c>
      <c r="K11" s="131">
        <v>3.95</v>
      </c>
      <c r="L11" s="113"/>
      <c r="M11" s="129" t="s">
        <v>74</v>
      </c>
      <c r="N11" s="130">
        <v>0.2754</v>
      </c>
      <c r="O11" s="131">
        <v>3.63</v>
      </c>
      <c r="P11" s="113"/>
      <c r="Q11" s="129" t="s">
        <v>74</v>
      </c>
      <c r="R11" s="130">
        <v>0.2798</v>
      </c>
      <c r="S11" s="131">
        <v>3.57</v>
      </c>
      <c r="T11" s="113"/>
      <c r="U11" s="113"/>
      <c r="V11" s="113"/>
      <c r="W11" s="113"/>
      <c r="X11" s="113"/>
      <c r="Y11" s="113"/>
      <c r="Z11" s="113"/>
    </row>
    <row r="12">
      <c r="A12" s="132" t="s">
        <v>75</v>
      </c>
      <c r="B12" s="133">
        <v>4539080.0</v>
      </c>
      <c r="C12" s="116"/>
      <c r="D12" s="113"/>
      <c r="E12" s="132" t="s">
        <v>75</v>
      </c>
      <c r="F12" s="133">
        <v>4715317.0</v>
      </c>
      <c r="G12" s="116"/>
      <c r="H12" s="113"/>
      <c r="I12" s="132" t="s">
        <v>75</v>
      </c>
      <c r="J12" s="133">
        <v>4052822.0</v>
      </c>
      <c r="K12" s="116"/>
      <c r="L12" s="113"/>
      <c r="M12" s="132" t="s">
        <v>75</v>
      </c>
      <c r="N12" s="133">
        <v>4019216.0</v>
      </c>
      <c r="O12" s="116"/>
      <c r="P12" s="113"/>
      <c r="Q12" s="132" t="s">
        <v>75</v>
      </c>
      <c r="R12" s="133">
        <v>4055936.0</v>
      </c>
      <c r="S12" s="116"/>
      <c r="T12" s="113"/>
      <c r="U12" s="113"/>
      <c r="V12" s="113"/>
      <c r="W12" s="113"/>
      <c r="X12" s="113"/>
      <c r="Y12" s="113"/>
      <c r="Z12" s="113"/>
    </row>
    <row r="13">
      <c r="A13" s="134"/>
      <c r="B13" s="135"/>
      <c r="C13" s="116"/>
      <c r="D13" s="113"/>
      <c r="E13" s="134"/>
      <c r="F13" s="135"/>
      <c r="G13" s="116"/>
      <c r="H13" s="113"/>
      <c r="I13" s="134"/>
      <c r="J13" s="135"/>
      <c r="K13" s="116"/>
      <c r="L13" s="113"/>
      <c r="M13" s="134"/>
      <c r="N13" s="135"/>
      <c r="O13" s="116"/>
      <c r="P13" s="113"/>
      <c r="Q13" s="134"/>
      <c r="R13" s="135"/>
      <c r="S13" s="116"/>
      <c r="T13" s="113"/>
      <c r="U13" s="113"/>
      <c r="V13" s="113"/>
      <c r="W13" s="113"/>
      <c r="X13" s="113"/>
      <c r="Y13" s="113"/>
      <c r="Z13" s="113"/>
    </row>
    <row r="14">
      <c r="A14" s="132" t="s">
        <v>76</v>
      </c>
      <c r="B14" s="133">
        <v>8284962.0</v>
      </c>
      <c r="C14" s="116"/>
      <c r="D14" s="113"/>
      <c r="E14" s="132" t="s">
        <v>76</v>
      </c>
      <c r="F14" s="133">
        <v>7241717.0</v>
      </c>
      <c r="G14" s="116"/>
      <c r="H14" s="113"/>
      <c r="I14" s="132" t="s">
        <v>76</v>
      </c>
      <c r="J14" s="133">
        <v>6853449.0</v>
      </c>
      <c r="K14" s="116"/>
      <c r="L14" s="113"/>
      <c r="M14" s="132" t="s">
        <v>76</v>
      </c>
      <c r="N14" s="133">
        <v>6683100.0</v>
      </c>
      <c r="O14" s="116"/>
      <c r="P14" s="113"/>
      <c r="Q14" s="132" t="s">
        <v>76</v>
      </c>
      <c r="R14" s="133">
        <v>6741426.0</v>
      </c>
      <c r="S14" s="116"/>
      <c r="T14" s="113"/>
      <c r="U14" s="113"/>
      <c r="V14" s="113"/>
      <c r="W14" s="113"/>
      <c r="X14" s="113"/>
      <c r="Y14" s="113"/>
      <c r="Z14" s="113"/>
    </row>
    <row r="15">
      <c r="A15" s="136" t="s">
        <v>77</v>
      </c>
      <c r="B15" s="137">
        <v>2568708.0</v>
      </c>
      <c r="C15" s="116"/>
      <c r="D15" s="113"/>
      <c r="E15" s="136" t="s">
        <v>77</v>
      </c>
      <c r="F15" s="137">
        <v>3932528.0</v>
      </c>
      <c r="G15" s="116"/>
      <c r="H15" s="113"/>
      <c r="I15" s="136" t="s">
        <v>77</v>
      </c>
      <c r="J15" s="137">
        <v>3791660.0</v>
      </c>
      <c r="K15" s="116"/>
      <c r="L15" s="113"/>
      <c r="M15" s="136" t="s">
        <v>77</v>
      </c>
      <c r="N15" s="137">
        <v>2989338.0</v>
      </c>
      <c r="O15" s="116"/>
      <c r="P15" s="113"/>
      <c r="Q15" s="136" t="s">
        <v>77</v>
      </c>
      <c r="R15" s="137">
        <v>2856332.0</v>
      </c>
      <c r="S15" s="116"/>
      <c r="T15" s="113"/>
      <c r="U15" s="113"/>
      <c r="V15" s="113"/>
      <c r="W15" s="113"/>
      <c r="X15" s="113"/>
      <c r="Y15" s="113"/>
      <c r="Z15" s="113"/>
    </row>
    <row r="16">
      <c r="A16" s="136" t="s">
        <v>78</v>
      </c>
      <c r="B16" s="138"/>
      <c r="C16" s="116"/>
      <c r="D16" s="113"/>
      <c r="E16" s="136" t="s">
        <v>78</v>
      </c>
      <c r="F16" s="138"/>
      <c r="G16" s="116"/>
      <c r="H16" s="113"/>
      <c r="I16" s="136" t="s">
        <v>78</v>
      </c>
      <c r="J16" s="138"/>
      <c r="K16" s="116"/>
      <c r="L16" s="113"/>
      <c r="M16" s="136" t="s">
        <v>78</v>
      </c>
      <c r="N16" s="138"/>
      <c r="O16" s="116"/>
      <c r="P16" s="113"/>
      <c r="Q16" s="136" t="s">
        <v>78</v>
      </c>
      <c r="R16" s="138"/>
      <c r="S16" s="116"/>
      <c r="T16" s="113"/>
      <c r="U16" s="113"/>
      <c r="V16" s="113"/>
      <c r="W16" s="113"/>
      <c r="X16" s="113"/>
      <c r="Y16" s="113"/>
      <c r="Z16" s="113"/>
    </row>
    <row r="17">
      <c r="A17" s="136" t="s">
        <v>79</v>
      </c>
      <c r="B17" s="139">
        <v>0.0</v>
      </c>
      <c r="C17" s="116"/>
      <c r="D17" s="113"/>
      <c r="E17" s="136" t="s">
        <v>79</v>
      </c>
      <c r="F17" s="139">
        <v>0.0</v>
      </c>
      <c r="G17" s="116"/>
      <c r="H17" s="113"/>
      <c r="I17" s="136" t="s">
        <v>79</v>
      </c>
      <c r="J17" s="139">
        <v>0.0</v>
      </c>
      <c r="K17" s="116"/>
      <c r="L17" s="113"/>
      <c r="M17" s="136" t="s">
        <v>79</v>
      </c>
      <c r="N17" s="139">
        <v>0.0</v>
      </c>
      <c r="O17" s="116"/>
      <c r="P17" s="113"/>
      <c r="Q17" s="136" t="s">
        <v>79</v>
      </c>
      <c r="R17" s="137">
        <v>2980.0</v>
      </c>
      <c r="S17" s="116"/>
      <c r="T17" s="113"/>
      <c r="U17" s="113"/>
      <c r="V17" s="113"/>
      <c r="W17" s="113"/>
      <c r="X17" s="113"/>
      <c r="Y17" s="113"/>
      <c r="Z17" s="113"/>
    </row>
    <row r="18">
      <c r="A18" s="140"/>
      <c r="B18" s="138"/>
      <c r="C18" s="116"/>
      <c r="D18" s="113"/>
      <c r="E18" s="140"/>
      <c r="F18" s="138"/>
      <c r="G18" s="116"/>
      <c r="H18" s="113"/>
      <c r="I18" s="140"/>
      <c r="J18" s="138"/>
      <c r="K18" s="116"/>
      <c r="L18" s="113"/>
      <c r="M18" s="140"/>
      <c r="N18" s="138"/>
      <c r="O18" s="116"/>
      <c r="P18" s="113"/>
      <c r="Q18" s="140"/>
      <c r="R18" s="138"/>
      <c r="S18" s="116"/>
      <c r="T18" s="113"/>
      <c r="U18" s="113"/>
      <c r="V18" s="113"/>
      <c r="W18" s="113"/>
      <c r="X18" s="113"/>
      <c r="Y18" s="113"/>
      <c r="Z18" s="113"/>
    </row>
    <row r="19">
      <c r="A19" s="117" t="s">
        <v>80</v>
      </c>
      <c r="B19" s="124">
        <v>2568708.0</v>
      </c>
      <c r="C19" s="116"/>
      <c r="D19" s="113"/>
      <c r="E19" s="117" t="s">
        <v>80</v>
      </c>
      <c r="F19" s="124">
        <v>3932528.0</v>
      </c>
      <c r="G19" s="116"/>
      <c r="H19" s="113"/>
      <c r="I19" s="117" t="s">
        <v>80</v>
      </c>
      <c r="J19" s="124">
        <v>3791660.0</v>
      </c>
      <c r="K19" s="116"/>
      <c r="L19" s="113"/>
      <c r="M19" s="117" t="s">
        <v>80</v>
      </c>
      <c r="N19" s="124">
        <v>2989338.0</v>
      </c>
      <c r="O19" s="116"/>
      <c r="P19" s="113"/>
      <c r="Q19" s="117" t="s">
        <v>80</v>
      </c>
      <c r="R19" s="124">
        <v>2853352.0</v>
      </c>
      <c r="S19" s="116"/>
      <c r="T19" s="113"/>
      <c r="U19" s="113"/>
      <c r="V19" s="113"/>
      <c r="W19" s="113"/>
      <c r="X19" s="113"/>
      <c r="Y19" s="113"/>
      <c r="Z19" s="113"/>
    </row>
    <row r="20">
      <c r="A20" s="141" t="s">
        <v>81</v>
      </c>
      <c r="B20" s="142">
        <v>25687.0</v>
      </c>
      <c r="C20" s="116"/>
      <c r="D20" s="113"/>
      <c r="E20" s="141" t="s">
        <v>81</v>
      </c>
      <c r="F20" s="142">
        <v>39325.0</v>
      </c>
      <c r="G20" s="116"/>
      <c r="H20" s="113"/>
      <c r="I20" s="141" t="s">
        <v>81</v>
      </c>
      <c r="J20" s="142">
        <v>37917.0</v>
      </c>
      <c r="K20" s="116"/>
      <c r="L20" s="113"/>
      <c r="M20" s="141" t="s">
        <v>81</v>
      </c>
      <c r="N20" s="142">
        <v>29893.0</v>
      </c>
      <c r="O20" s="116"/>
      <c r="P20" s="113"/>
      <c r="Q20" s="141" t="s">
        <v>81</v>
      </c>
      <c r="R20" s="142">
        <v>28534.0</v>
      </c>
      <c r="S20" s="116"/>
      <c r="T20" s="113"/>
      <c r="U20" s="113"/>
      <c r="V20" s="113"/>
      <c r="W20" s="113"/>
      <c r="X20" s="113"/>
      <c r="Y20" s="113"/>
      <c r="Z20" s="113"/>
    </row>
    <row r="21">
      <c r="A21" s="143"/>
      <c r="B21" s="113"/>
      <c r="C21" s="113"/>
      <c r="D21" s="113"/>
      <c r="E21" s="113"/>
      <c r="F21" s="113"/>
      <c r="G21" s="113"/>
      <c r="H21" s="113"/>
      <c r="I21" s="14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>
      <c r="A22" s="144" t="s">
        <v>82</v>
      </c>
      <c r="B22" s="145" t="s">
        <v>83</v>
      </c>
      <c r="C22" s="145" t="s">
        <v>84</v>
      </c>
      <c r="D22" s="113"/>
      <c r="E22" s="144" t="s">
        <v>82</v>
      </c>
      <c r="F22" s="145" t="s">
        <v>83</v>
      </c>
      <c r="G22" s="145" t="s">
        <v>84</v>
      </c>
      <c r="H22" s="113"/>
      <c r="I22" s="144" t="s">
        <v>82</v>
      </c>
      <c r="J22" s="145" t="s">
        <v>83</v>
      </c>
      <c r="K22" s="145" t="s">
        <v>84</v>
      </c>
      <c r="L22" s="113"/>
      <c r="M22" s="144" t="s">
        <v>82</v>
      </c>
      <c r="N22" s="145" t="s">
        <v>83</v>
      </c>
      <c r="O22" s="145" t="s">
        <v>84</v>
      </c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>
      <c r="A23" s="146" t="s">
        <v>85</v>
      </c>
      <c r="B23" s="147">
        <v>0.0</v>
      </c>
      <c r="C23" s="148"/>
      <c r="D23" s="113"/>
      <c r="E23" s="146" t="s">
        <v>85</v>
      </c>
      <c r="F23" s="147">
        <v>0.0</v>
      </c>
      <c r="G23" s="149"/>
      <c r="H23" s="113"/>
      <c r="I23" s="146" t="s">
        <v>85</v>
      </c>
      <c r="J23" s="147">
        <v>0.0</v>
      </c>
      <c r="K23" s="148"/>
      <c r="L23" s="113"/>
      <c r="M23" s="146" t="s">
        <v>85</v>
      </c>
      <c r="N23" s="147">
        <v>0.0</v>
      </c>
      <c r="O23" s="150">
        <v>0.0</v>
      </c>
      <c r="P23" s="113"/>
      <c r="Q23" s="144" t="s">
        <v>82</v>
      </c>
      <c r="R23" s="145" t="s">
        <v>83</v>
      </c>
      <c r="S23" s="145" t="s">
        <v>84</v>
      </c>
      <c r="T23" s="113"/>
      <c r="U23" s="113"/>
      <c r="V23" s="113"/>
      <c r="W23" s="113"/>
      <c r="X23" s="113"/>
      <c r="Y23" s="113"/>
      <c r="Z23" s="113"/>
    </row>
    <row r="24">
      <c r="A24" s="146" t="s">
        <v>86</v>
      </c>
      <c r="B24" s="147">
        <v>0.24</v>
      </c>
      <c r="C24" s="151"/>
      <c r="D24" s="113"/>
      <c r="E24" s="146" t="s">
        <v>86</v>
      </c>
      <c r="F24" s="147">
        <v>0.24</v>
      </c>
      <c r="G24" s="152"/>
      <c r="H24" s="113"/>
      <c r="I24" s="146" t="s">
        <v>86</v>
      </c>
      <c r="J24" s="147">
        <v>0.25</v>
      </c>
      <c r="K24" s="151"/>
      <c r="L24" s="113"/>
      <c r="M24" s="146" t="s">
        <v>86</v>
      </c>
      <c r="N24" s="147">
        <v>0.25</v>
      </c>
      <c r="O24" s="153">
        <v>0.0</v>
      </c>
      <c r="P24" s="113"/>
      <c r="Q24" s="146" t="s">
        <v>85</v>
      </c>
      <c r="R24" s="147">
        <v>0.0</v>
      </c>
      <c r="S24" s="154">
        <v>0.0</v>
      </c>
      <c r="T24" s="113"/>
      <c r="U24" s="113"/>
      <c r="V24" s="113"/>
      <c r="W24" s="113"/>
      <c r="X24" s="113"/>
      <c r="Y24" s="113"/>
      <c r="Z24" s="113"/>
    </row>
    <row r="25">
      <c r="A25" s="146" t="s">
        <v>87</v>
      </c>
      <c r="B25" s="147">
        <v>0.28</v>
      </c>
      <c r="C25" s="155">
        <v>3.24</v>
      </c>
      <c r="D25" s="113"/>
      <c r="E25" s="146" t="s">
        <v>87</v>
      </c>
      <c r="F25" s="147">
        <v>0.21</v>
      </c>
      <c r="G25" s="155">
        <v>4.93</v>
      </c>
      <c r="H25" s="113"/>
      <c r="I25" s="146" t="s">
        <v>87</v>
      </c>
      <c r="J25" s="147">
        <v>0.26</v>
      </c>
      <c r="K25" s="155">
        <v>4.02</v>
      </c>
      <c r="L25" s="113"/>
      <c r="M25" s="146" t="s">
        <v>87</v>
      </c>
      <c r="N25" s="147">
        <v>0.25</v>
      </c>
      <c r="O25" s="155">
        <v>0.0</v>
      </c>
      <c r="P25" s="113"/>
      <c r="Q25" s="146" t="s">
        <v>86</v>
      </c>
      <c r="R25" s="147">
        <v>0.24</v>
      </c>
      <c r="S25" s="156">
        <v>0.0</v>
      </c>
      <c r="T25" s="113"/>
      <c r="U25" s="113"/>
      <c r="V25" s="113"/>
      <c r="W25" s="113"/>
      <c r="X25" s="113"/>
      <c r="Y25" s="113"/>
      <c r="Z25" s="113"/>
    </row>
    <row r="26">
      <c r="A26" s="146" t="s">
        <v>88</v>
      </c>
      <c r="B26" s="147">
        <v>0.0</v>
      </c>
      <c r="C26" s="155">
        <v>0.0</v>
      </c>
      <c r="D26" s="113"/>
      <c r="E26" s="146" t="s">
        <v>88</v>
      </c>
      <c r="F26" s="147">
        <v>0.0</v>
      </c>
      <c r="G26" s="155">
        <v>0.0</v>
      </c>
      <c r="H26" s="113"/>
      <c r="I26" s="146" t="s">
        <v>88</v>
      </c>
      <c r="J26" s="147">
        <v>0.0</v>
      </c>
      <c r="K26" s="155">
        <v>0.0</v>
      </c>
      <c r="L26" s="113"/>
      <c r="M26" s="146" t="s">
        <v>88</v>
      </c>
      <c r="N26" s="147">
        <v>0.0</v>
      </c>
      <c r="O26" s="155">
        <v>0.0</v>
      </c>
      <c r="P26" s="113"/>
      <c r="Q26" s="146" t="s">
        <v>87</v>
      </c>
      <c r="R26" s="147">
        <v>0.25</v>
      </c>
      <c r="S26" s="155">
        <v>0.0</v>
      </c>
      <c r="T26" s="113"/>
      <c r="U26" s="113"/>
      <c r="V26" s="113"/>
      <c r="W26" s="113"/>
      <c r="X26" s="113"/>
      <c r="Y26" s="113"/>
      <c r="Z26" s="113"/>
    </row>
    <row r="27">
      <c r="A27" s="146" t="s">
        <v>89</v>
      </c>
      <c r="B27" s="147">
        <v>0.0</v>
      </c>
      <c r="C27" s="155">
        <v>0.0</v>
      </c>
      <c r="D27" s="113"/>
      <c r="E27" s="146" t="s">
        <v>89</v>
      </c>
      <c r="F27" s="147">
        <v>0.0</v>
      </c>
      <c r="G27" s="155">
        <v>0.0</v>
      </c>
      <c r="H27" s="113"/>
      <c r="I27" s="146" t="s">
        <v>89</v>
      </c>
      <c r="J27" s="147">
        <v>0.0</v>
      </c>
      <c r="K27" s="155">
        <v>0.0</v>
      </c>
      <c r="L27" s="113"/>
      <c r="M27" s="146" t="s">
        <v>89</v>
      </c>
      <c r="N27" s="147">
        <v>0.0</v>
      </c>
      <c r="O27" s="155">
        <v>0.0</v>
      </c>
      <c r="P27" s="113"/>
      <c r="Q27" s="146" t="s">
        <v>88</v>
      </c>
      <c r="R27" s="147">
        <v>0.0</v>
      </c>
      <c r="S27" s="155">
        <v>0.0</v>
      </c>
      <c r="T27" s="113"/>
      <c r="U27" s="113"/>
      <c r="V27" s="113"/>
      <c r="W27" s="113"/>
      <c r="X27" s="113"/>
      <c r="Y27" s="113"/>
      <c r="Z27" s="113"/>
    </row>
    <row r="28">
      <c r="A28" s="146" t="s">
        <v>90</v>
      </c>
      <c r="B28" s="147">
        <v>0.0</v>
      </c>
      <c r="C28" s="155">
        <v>0.0</v>
      </c>
      <c r="D28" s="113"/>
      <c r="E28" s="146" t="s">
        <v>90</v>
      </c>
      <c r="F28" s="147">
        <v>0.0</v>
      </c>
      <c r="G28" s="155">
        <v>0.0</v>
      </c>
      <c r="H28" s="113"/>
      <c r="I28" s="146" t="s">
        <v>90</v>
      </c>
      <c r="J28" s="147">
        <v>0.0</v>
      </c>
      <c r="K28" s="155">
        <v>0.0</v>
      </c>
      <c r="L28" s="113"/>
      <c r="M28" s="146" t="s">
        <v>90</v>
      </c>
      <c r="N28" s="147">
        <v>0.0</v>
      </c>
      <c r="O28" s="155">
        <v>0.0</v>
      </c>
      <c r="P28" s="113"/>
      <c r="Q28" s="146" t="s">
        <v>89</v>
      </c>
      <c r="R28" s="147">
        <v>0.0</v>
      </c>
      <c r="S28" s="155">
        <v>0.0</v>
      </c>
      <c r="T28" s="113"/>
      <c r="U28" s="113"/>
      <c r="V28" s="113"/>
      <c r="W28" s="113"/>
      <c r="X28" s="113"/>
      <c r="Y28" s="113"/>
      <c r="Z28" s="113"/>
    </row>
    <row r="29">
      <c r="A29" s="146" t="s">
        <v>91</v>
      </c>
      <c r="B29" s="147">
        <v>0.0</v>
      </c>
      <c r="C29" s="155">
        <v>0.0</v>
      </c>
      <c r="D29" s="113"/>
      <c r="E29" s="146" t="s">
        <v>91</v>
      </c>
      <c r="F29" s="147">
        <v>0.0</v>
      </c>
      <c r="G29" s="155">
        <v>0.0</v>
      </c>
      <c r="H29" s="113"/>
      <c r="I29" s="146" t="s">
        <v>91</v>
      </c>
      <c r="J29" s="147">
        <v>0.0</v>
      </c>
      <c r="K29" s="155">
        <v>0.0</v>
      </c>
      <c r="L29" s="113"/>
      <c r="M29" s="146" t="s">
        <v>91</v>
      </c>
      <c r="N29" s="147">
        <v>0.0</v>
      </c>
      <c r="O29" s="155">
        <v>0.0</v>
      </c>
      <c r="P29" s="113"/>
      <c r="Q29" s="146" t="s">
        <v>90</v>
      </c>
      <c r="R29" s="147">
        <v>0.0</v>
      </c>
      <c r="S29" s="155">
        <v>0.0</v>
      </c>
      <c r="T29" s="113"/>
      <c r="U29" s="113"/>
      <c r="V29" s="113"/>
      <c r="W29" s="113"/>
      <c r="X29" s="113"/>
      <c r="Y29" s="113"/>
      <c r="Z29" s="113"/>
    </row>
    <row r="30">
      <c r="A30" s="146" t="s">
        <v>92</v>
      </c>
      <c r="B30" s="147">
        <v>0.07</v>
      </c>
      <c r="C30" s="155">
        <v>3.23</v>
      </c>
      <c r="D30" s="113"/>
      <c r="E30" s="146" t="s">
        <v>92</v>
      </c>
      <c r="F30" s="147">
        <v>0.06</v>
      </c>
      <c r="G30" s="155">
        <v>4.35</v>
      </c>
      <c r="H30" s="113"/>
      <c r="I30" s="146" t="s">
        <v>92</v>
      </c>
      <c r="J30" s="147">
        <v>0.07</v>
      </c>
      <c r="K30" s="155">
        <v>4.06</v>
      </c>
      <c r="L30" s="113"/>
      <c r="M30" s="146" t="s">
        <v>92</v>
      </c>
      <c r="N30" s="147">
        <v>0.07</v>
      </c>
      <c r="O30" s="155">
        <v>0.0</v>
      </c>
      <c r="P30" s="113"/>
      <c r="Q30" s="146" t="s">
        <v>91</v>
      </c>
      <c r="R30" s="147">
        <v>0.0</v>
      </c>
      <c r="S30" s="155">
        <v>0.0</v>
      </c>
      <c r="T30" s="113"/>
      <c r="U30" s="113"/>
      <c r="V30" s="113"/>
      <c r="W30" s="113"/>
      <c r="X30" s="113"/>
      <c r="Y30" s="113"/>
      <c r="Z30" s="113"/>
    </row>
    <row r="31">
      <c r="A31" s="146" t="s">
        <v>93</v>
      </c>
      <c r="B31" s="147">
        <v>0.1</v>
      </c>
      <c r="C31" s="155">
        <v>1.78</v>
      </c>
      <c r="D31" s="113"/>
      <c r="E31" s="146" t="s">
        <v>93</v>
      </c>
      <c r="F31" s="147">
        <v>0.07</v>
      </c>
      <c r="G31" s="155">
        <v>3.08</v>
      </c>
      <c r="H31" s="113"/>
      <c r="I31" s="146" t="s">
        <v>93</v>
      </c>
      <c r="J31" s="147">
        <v>0.08</v>
      </c>
      <c r="K31" s="155">
        <v>2.92</v>
      </c>
      <c r="L31" s="113"/>
      <c r="M31" s="146" t="s">
        <v>93</v>
      </c>
      <c r="N31" s="147">
        <v>0.08</v>
      </c>
      <c r="O31" s="155">
        <v>0.0</v>
      </c>
      <c r="P31" s="113"/>
      <c r="Q31" s="146" t="s">
        <v>92</v>
      </c>
      <c r="R31" s="147">
        <v>0.07</v>
      </c>
      <c r="S31" s="155">
        <v>0.0</v>
      </c>
      <c r="T31" s="113"/>
      <c r="U31" s="113"/>
      <c r="V31" s="113"/>
      <c r="W31" s="113"/>
      <c r="X31" s="113"/>
      <c r="Y31" s="113"/>
      <c r="Z31" s="113"/>
    </row>
    <row r="32">
      <c r="A32" s="157" t="s">
        <v>94</v>
      </c>
      <c r="B32" s="158">
        <v>0.28</v>
      </c>
      <c r="C32" s="159">
        <v>3.24</v>
      </c>
      <c r="D32" s="113"/>
      <c r="E32" s="157" t="s">
        <v>94</v>
      </c>
      <c r="F32" s="158">
        <v>0.21</v>
      </c>
      <c r="G32" s="159">
        <v>4.93</v>
      </c>
      <c r="H32" s="113"/>
      <c r="I32" s="157" t="s">
        <v>94</v>
      </c>
      <c r="J32" s="158">
        <v>0.26</v>
      </c>
      <c r="K32" s="159">
        <v>4.02</v>
      </c>
      <c r="L32" s="113"/>
      <c r="M32" s="157" t="s">
        <v>94</v>
      </c>
      <c r="N32" s="158">
        <v>0.25</v>
      </c>
      <c r="O32" s="159">
        <v>3.92</v>
      </c>
      <c r="P32" s="113"/>
      <c r="Q32" s="146" t="s">
        <v>93</v>
      </c>
      <c r="R32" s="147">
        <v>0.08</v>
      </c>
      <c r="S32" s="155">
        <v>0.0</v>
      </c>
      <c r="T32" s="113"/>
      <c r="U32" s="113"/>
      <c r="V32" s="113"/>
      <c r="W32" s="113"/>
      <c r="X32" s="113"/>
      <c r="Y32" s="113"/>
      <c r="Z32" s="113"/>
    </row>
    <row r="33">
      <c r="A33" s="157" t="s">
        <v>95</v>
      </c>
      <c r="B33" s="158">
        <v>0.17</v>
      </c>
      <c r="C33" s="159">
        <v>2.35</v>
      </c>
      <c r="D33" s="113"/>
      <c r="E33" s="157" t="s">
        <v>95</v>
      </c>
      <c r="F33" s="158">
        <v>0.14</v>
      </c>
      <c r="G33" s="159">
        <v>3.66</v>
      </c>
      <c r="H33" s="113"/>
      <c r="I33" s="157" t="s">
        <v>95</v>
      </c>
      <c r="J33" s="158">
        <v>0.15</v>
      </c>
      <c r="K33" s="159">
        <v>3.44</v>
      </c>
      <c r="L33" s="113"/>
      <c r="M33" s="157" t="s">
        <v>95</v>
      </c>
      <c r="N33" s="158">
        <v>0.15</v>
      </c>
      <c r="O33" s="159">
        <v>0.21</v>
      </c>
      <c r="P33" s="113"/>
      <c r="Q33" s="157" t="s">
        <v>94</v>
      </c>
      <c r="R33" s="158">
        <v>0.25</v>
      </c>
      <c r="S33" s="159">
        <v>3.83</v>
      </c>
      <c r="T33" s="113"/>
      <c r="U33" s="113"/>
      <c r="V33" s="113"/>
      <c r="W33" s="113"/>
      <c r="X33" s="113"/>
      <c r="Y33" s="113"/>
      <c r="Z33" s="113"/>
    </row>
    <row r="34">
      <c r="A34" s="160" t="s">
        <v>96</v>
      </c>
      <c r="B34" s="161">
        <v>0.35</v>
      </c>
      <c r="C34" s="162">
        <v>3.0</v>
      </c>
      <c r="D34" s="113"/>
      <c r="E34" s="160" t="s">
        <v>96</v>
      </c>
      <c r="F34" s="161">
        <v>0.23</v>
      </c>
      <c r="G34" s="162">
        <v>4.56</v>
      </c>
      <c r="H34" s="113"/>
      <c r="I34" s="160" t="s">
        <v>96</v>
      </c>
      <c r="J34" s="161">
        <v>0.26</v>
      </c>
      <c r="K34" s="162">
        <v>3.95</v>
      </c>
      <c r="L34" s="113"/>
      <c r="M34" s="160" t="s">
        <v>96</v>
      </c>
      <c r="N34" s="161">
        <v>0.28</v>
      </c>
      <c r="O34" s="162">
        <v>3.63</v>
      </c>
      <c r="P34" s="113"/>
      <c r="Q34" s="157" t="s">
        <v>95</v>
      </c>
      <c r="R34" s="158">
        <v>0.15</v>
      </c>
      <c r="S34" s="159">
        <v>0.17</v>
      </c>
      <c r="T34" s="113"/>
      <c r="U34" s="113"/>
      <c r="V34" s="113"/>
      <c r="W34" s="113"/>
      <c r="X34" s="113"/>
      <c r="Y34" s="113"/>
      <c r="Z34" s="113"/>
    </row>
    <row r="35">
      <c r="A35" s="146" t="s">
        <v>97</v>
      </c>
      <c r="B35" s="147">
        <v>0.15</v>
      </c>
      <c r="C35" s="148"/>
      <c r="D35" s="113"/>
      <c r="E35" s="146" t="s">
        <v>97</v>
      </c>
      <c r="F35" s="147">
        <v>0.17</v>
      </c>
      <c r="G35" s="149"/>
      <c r="H35" s="113"/>
      <c r="I35" s="146" t="s">
        <v>97</v>
      </c>
      <c r="J35" s="147">
        <v>0.18</v>
      </c>
      <c r="K35" s="148"/>
      <c r="L35" s="113"/>
      <c r="M35" s="146" t="s">
        <v>97</v>
      </c>
      <c r="N35" s="147">
        <v>0.19</v>
      </c>
      <c r="O35" s="150">
        <v>0.0</v>
      </c>
      <c r="P35" s="113"/>
      <c r="Q35" s="160" t="s">
        <v>96</v>
      </c>
      <c r="R35" s="161">
        <v>0.28</v>
      </c>
      <c r="S35" s="162">
        <v>3.57</v>
      </c>
      <c r="T35" s="113"/>
      <c r="U35" s="113"/>
      <c r="V35" s="113"/>
      <c r="W35" s="113"/>
      <c r="X35" s="113"/>
      <c r="Y35" s="113"/>
      <c r="Z35" s="113"/>
    </row>
    <row r="36">
      <c r="A36" s="146" t="s">
        <v>98</v>
      </c>
      <c r="B36" s="147">
        <v>0.02</v>
      </c>
      <c r="C36" s="148"/>
      <c r="D36" s="113"/>
      <c r="E36" s="146" t="s">
        <v>98</v>
      </c>
      <c r="F36" s="147">
        <v>0.03</v>
      </c>
      <c r="G36" s="149"/>
      <c r="H36" s="113"/>
      <c r="I36" s="146" t="s">
        <v>98</v>
      </c>
      <c r="J36" s="147">
        <v>0.03</v>
      </c>
      <c r="K36" s="148"/>
      <c r="L36" s="113"/>
      <c r="M36" s="146" t="s">
        <v>98</v>
      </c>
      <c r="N36" s="147">
        <v>0.02</v>
      </c>
      <c r="O36" s="150">
        <v>0.0</v>
      </c>
      <c r="P36" s="113"/>
      <c r="Q36" s="146" t="s">
        <v>97</v>
      </c>
      <c r="R36" s="147">
        <v>0.18</v>
      </c>
      <c r="S36" s="154">
        <v>0.0</v>
      </c>
      <c r="T36" s="113"/>
      <c r="U36" s="113"/>
      <c r="V36" s="113"/>
      <c r="W36" s="113"/>
      <c r="X36" s="113"/>
      <c r="Y36" s="113"/>
      <c r="Z36" s="113"/>
    </row>
    <row r="37">
      <c r="A37" s="146" t="s">
        <v>99</v>
      </c>
      <c r="B37" s="147">
        <v>0.01</v>
      </c>
      <c r="C37" s="151"/>
      <c r="D37" s="113"/>
      <c r="E37" s="146" t="s">
        <v>99</v>
      </c>
      <c r="F37" s="147">
        <v>0.01</v>
      </c>
      <c r="G37" s="152"/>
      <c r="H37" s="113"/>
      <c r="I37" s="146" t="s">
        <v>99</v>
      </c>
      <c r="J37" s="147">
        <v>0.01</v>
      </c>
      <c r="K37" s="151"/>
      <c r="L37" s="113"/>
      <c r="M37" s="146" t="s">
        <v>99</v>
      </c>
      <c r="N37" s="147">
        <v>0.01</v>
      </c>
      <c r="O37" s="153">
        <v>0.0</v>
      </c>
      <c r="P37" s="113"/>
      <c r="Q37" s="146" t="s">
        <v>98</v>
      </c>
      <c r="R37" s="147">
        <v>0.02</v>
      </c>
      <c r="S37" s="154">
        <v>0.0</v>
      </c>
      <c r="T37" s="113"/>
      <c r="U37" s="113"/>
      <c r="V37" s="113"/>
      <c r="W37" s="113"/>
      <c r="X37" s="113"/>
      <c r="Y37" s="113"/>
      <c r="Z37" s="113"/>
    </row>
    <row r="38">
      <c r="A38" s="163"/>
      <c r="B38" s="163"/>
      <c r="C38" s="164"/>
      <c r="D38" s="113"/>
      <c r="E38" s="165"/>
      <c r="F38" s="165"/>
      <c r="G38" s="116"/>
      <c r="H38" s="113"/>
      <c r="I38" s="163"/>
      <c r="J38" s="163"/>
      <c r="K38" s="164"/>
      <c r="L38" s="113"/>
      <c r="M38" s="165"/>
      <c r="N38" s="165"/>
      <c r="O38" s="116"/>
      <c r="P38" s="113"/>
      <c r="Q38" s="146" t="s">
        <v>99</v>
      </c>
      <c r="R38" s="147">
        <v>0.03</v>
      </c>
      <c r="S38" s="156">
        <v>0.0</v>
      </c>
      <c r="T38" s="113"/>
      <c r="U38" s="113"/>
      <c r="V38" s="113"/>
      <c r="W38" s="113"/>
      <c r="X38" s="113"/>
      <c r="Y38" s="113"/>
      <c r="Z38" s="113"/>
    </row>
    <row r="39">
      <c r="A39" s="166" t="s">
        <v>100</v>
      </c>
      <c r="B39" s="167">
        <v>0.2367</v>
      </c>
      <c r="C39" s="164"/>
      <c r="D39" s="113"/>
      <c r="E39" s="166" t="s">
        <v>100</v>
      </c>
      <c r="F39" s="167">
        <v>0.3519</v>
      </c>
      <c r="G39" s="113"/>
      <c r="H39" s="113"/>
      <c r="I39" s="166" t="s">
        <v>100</v>
      </c>
      <c r="J39" s="167">
        <v>0.3562</v>
      </c>
      <c r="K39" s="164"/>
      <c r="L39" s="113"/>
      <c r="M39" s="166" t="s">
        <v>100</v>
      </c>
      <c r="N39" s="167">
        <v>0.3091</v>
      </c>
      <c r="O39" s="113"/>
      <c r="P39" s="113"/>
      <c r="Q39" s="165"/>
      <c r="R39" s="165"/>
      <c r="S39" s="116"/>
      <c r="T39" s="113"/>
      <c r="U39" s="113"/>
      <c r="V39" s="113"/>
      <c r="W39" s="113"/>
      <c r="X39" s="113"/>
      <c r="Y39" s="113"/>
      <c r="Z39" s="113"/>
    </row>
    <row r="40">
      <c r="A40" s="143"/>
      <c r="B40" s="113"/>
      <c r="C40" s="113"/>
      <c r="D40" s="113"/>
      <c r="E40" s="113"/>
      <c r="F40" s="113"/>
      <c r="G40" s="113"/>
      <c r="H40" s="113"/>
      <c r="I40" s="143"/>
      <c r="J40" s="113"/>
      <c r="K40" s="113"/>
      <c r="L40" s="113"/>
      <c r="M40" s="113"/>
      <c r="N40" s="113"/>
      <c r="O40" s="113"/>
      <c r="P40" s="113"/>
      <c r="Q40" s="166" t="s">
        <v>100</v>
      </c>
      <c r="R40" s="167">
        <v>0.2973</v>
      </c>
      <c r="S40" s="113"/>
      <c r="T40" s="113"/>
      <c r="U40" s="113"/>
      <c r="V40" s="113"/>
      <c r="W40" s="113"/>
      <c r="X40" s="113"/>
      <c r="Y40" s="113"/>
      <c r="Z40" s="113"/>
    </row>
    <row r="4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mergeCells count="5">
    <mergeCell ref="A3:B3"/>
    <mergeCell ref="E3:F3"/>
    <mergeCell ref="I3:J3"/>
    <mergeCell ref="M3:N3"/>
    <mergeCell ref="Q3:R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75"/>
    <col customWidth="1" min="4" max="4" width="13.88"/>
    <col customWidth="1" min="5" max="5" width="10.25"/>
    <col customWidth="1" min="7" max="7" width="15.75"/>
    <col customWidth="1" min="8" max="8" width="13.88"/>
    <col customWidth="1" min="9" max="9" width="10.25"/>
    <col customWidth="1" min="11" max="11" width="15.75"/>
    <col customWidth="1" min="12" max="12" width="13.88"/>
    <col customWidth="1" min="13" max="13" width="10.25"/>
    <col customWidth="1" min="15" max="15" width="15.75"/>
    <col customWidth="1" min="16" max="16" width="13.88"/>
    <col customWidth="1" min="17" max="17" width="10.25"/>
    <col customWidth="1" min="19" max="19" width="15.75"/>
    <col customWidth="1" min="20" max="20" width="13.88"/>
    <col customWidth="1" min="21" max="21" width="10.25"/>
    <col customWidth="1" min="23" max="23" width="15.75"/>
    <col customWidth="1" min="24" max="24" width="13.88"/>
    <col customWidth="1" min="25" max="25" width="10.25"/>
    <col customWidth="1" min="27" max="27" width="15.75"/>
    <col customWidth="1" min="28" max="28" width="13.88"/>
    <col customWidth="1" min="29" max="29" width="10.25"/>
    <col customWidth="1" min="31" max="31" width="15.75"/>
    <col customWidth="1" min="32" max="32" width="13.88"/>
    <col customWidth="1" min="33" max="33" width="10.25"/>
    <col customWidth="1" min="35" max="35" width="15.75"/>
    <col customWidth="1" min="36" max="36" width="13.88"/>
    <col customWidth="1" min="37" max="37" width="10.25"/>
    <col customWidth="1" min="43" max="43" width="15.75"/>
    <col customWidth="1" min="44" max="44" width="13.88"/>
    <col customWidth="1" min="45" max="45" width="10.25"/>
    <col customWidth="1" min="47" max="47" width="15.75"/>
    <col customWidth="1" min="48" max="48" width="13.88"/>
    <col customWidth="1" min="49" max="49" width="10.25"/>
  </cols>
  <sheetData>
    <row r="1">
      <c r="A1" s="1"/>
      <c r="B1" s="1"/>
      <c r="C1" s="1" t="s">
        <v>62</v>
      </c>
      <c r="G1" s="1" t="s">
        <v>63</v>
      </c>
      <c r="K1" s="1" t="s">
        <v>64</v>
      </c>
      <c r="O1" s="1" t="s">
        <v>65</v>
      </c>
      <c r="S1" s="1" t="s">
        <v>102</v>
      </c>
      <c r="W1" s="1" t="s">
        <v>103</v>
      </c>
      <c r="AA1" s="1" t="s">
        <v>104</v>
      </c>
      <c r="AE1" s="168" t="s">
        <v>105</v>
      </c>
      <c r="AF1" s="86"/>
      <c r="AG1" s="86"/>
      <c r="AI1" s="168" t="s">
        <v>106</v>
      </c>
      <c r="AJ1" s="86"/>
      <c r="AK1" s="86"/>
      <c r="AM1" s="1" t="s">
        <v>107</v>
      </c>
      <c r="AQ1" s="1" t="s">
        <v>108</v>
      </c>
      <c r="AU1" s="1" t="s">
        <v>109</v>
      </c>
    </row>
    <row r="2">
      <c r="AE2" s="86"/>
      <c r="AF2" s="86"/>
      <c r="AG2" s="86"/>
      <c r="AI2" s="86"/>
      <c r="AJ2" s="86"/>
      <c r="AK2" s="86"/>
    </row>
    <row r="3">
      <c r="A3" s="169"/>
      <c r="B3" s="169"/>
      <c r="C3" s="56" t="s">
        <v>110</v>
      </c>
      <c r="D3" s="57"/>
      <c r="E3" s="58"/>
      <c r="G3" s="56" t="s">
        <v>110</v>
      </c>
      <c r="H3" s="57"/>
      <c r="I3" s="58"/>
      <c r="K3" s="56" t="s">
        <v>110</v>
      </c>
      <c r="L3" s="57"/>
      <c r="M3" s="58"/>
      <c r="O3" s="56" t="s">
        <v>110</v>
      </c>
      <c r="P3" s="57"/>
      <c r="Q3" s="170"/>
      <c r="S3" s="56" t="s">
        <v>110</v>
      </c>
      <c r="T3" s="57"/>
      <c r="U3" s="58"/>
      <c r="W3" s="56" t="s">
        <v>110</v>
      </c>
      <c r="X3" s="57"/>
      <c r="Y3" s="58"/>
      <c r="AA3" s="56" t="s">
        <v>110</v>
      </c>
      <c r="AB3" s="57"/>
      <c r="AC3" s="58"/>
      <c r="AE3" s="56" t="s">
        <v>110</v>
      </c>
      <c r="AF3" s="57"/>
      <c r="AG3" s="58"/>
      <c r="AI3" s="56" t="s">
        <v>66</v>
      </c>
      <c r="AJ3" s="57"/>
      <c r="AK3" s="58"/>
      <c r="AM3" s="56" t="s">
        <v>66</v>
      </c>
      <c r="AN3" s="57"/>
      <c r="AO3" s="58"/>
      <c r="AQ3" s="56" t="s">
        <v>66</v>
      </c>
      <c r="AR3" s="57"/>
      <c r="AS3" s="58"/>
      <c r="AU3" s="56" t="s">
        <v>66</v>
      </c>
      <c r="AV3" s="57"/>
      <c r="AW3" s="58"/>
    </row>
    <row r="4">
      <c r="A4" s="171"/>
      <c r="B4" s="172">
        <f t="shared" ref="B4:B5" si="1">sum(C4:AW4)</f>
        <v>95483979</v>
      </c>
      <c r="C4" s="59" t="s">
        <v>67</v>
      </c>
      <c r="D4" s="60">
        <v>9020754.0</v>
      </c>
      <c r="E4" s="58"/>
      <c r="G4" s="59" t="s">
        <v>67</v>
      </c>
      <c r="H4" s="60">
        <v>8320339.0</v>
      </c>
      <c r="I4" s="58"/>
      <c r="K4" s="59" t="s">
        <v>67</v>
      </c>
      <c r="L4" s="60">
        <v>8526747.0</v>
      </c>
      <c r="M4" s="58"/>
      <c r="O4" s="59" t="s">
        <v>67</v>
      </c>
      <c r="P4" s="60">
        <v>8637974.0</v>
      </c>
      <c r="Q4" s="170"/>
      <c r="S4" s="59" t="s">
        <v>67</v>
      </c>
      <c r="T4" s="60">
        <v>6292491.0</v>
      </c>
      <c r="U4" s="58"/>
      <c r="W4" s="59" t="s">
        <v>67</v>
      </c>
      <c r="X4" s="60">
        <v>7341106.0</v>
      </c>
      <c r="Y4" s="58"/>
      <c r="AA4" s="59" t="s">
        <v>67</v>
      </c>
      <c r="AB4" s="60">
        <v>7750553.0</v>
      </c>
      <c r="AC4" s="58"/>
      <c r="AE4" s="59" t="s">
        <v>67</v>
      </c>
      <c r="AF4" s="60">
        <v>8099175.0</v>
      </c>
      <c r="AG4" s="58"/>
      <c r="AI4" s="59" t="s">
        <v>67</v>
      </c>
      <c r="AJ4" s="60">
        <v>6487223.0</v>
      </c>
      <c r="AK4" s="58"/>
      <c r="AM4" s="59" t="s">
        <v>67</v>
      </c>
      <c r="AN4" s="60">
        <v>6867108.0</v>
      </c>
      <c r="AO4" s="58"/>
      <c r="AQ4" s="59" t="s">
        <v>67</v>
      </c>
      <c r="AR4" s="60">
        <v>7325392.0</v>
      </c>
      <c r="AS4" s="58"/>
      <c r="AU4" s="59" t="s">
        <v>67</v>
      </c>
      <c r="AV4" s="60">
        <v>1.0815117E7</v>
      </c>
      <c r="AW4" s="58"/>
    </row>
    <row r="5">
      <c r="A5" s="171"/>
      <c r="B5" s="172">
        <f t="shared" si="1"/>
        <v>98856887</v>
      </c>
      <c r="C5" s="59" t="s">
        <v>68</v>
      </c>
      <c r="D5" s="60">
        <v>7029713.0</v>
      </c>
      <c r="E5" s="61"/>
      <c r="G5" s="59" t="s">
        <v>68</v>
      </c>
      <c r="H5" s="60">
        <v>6419136.0</v>
      </c>
      <c r="I5" s="61"/>
      <c r="K5" s="59" t="s">
        <v>68</v>
      </c>
      <c r="L5" s="60">
        <v>7891145.0</v>
      </c>
      <c r="M5" s="61"/>
      <c r="O5" s="59" t="s">
        <v>68</v>
      </c>
      <c r="P5" s="60">
        <v>7850916.0</v>
      </c>
      <c r="Q5" s="173"/>
      <c r="S5" s="59" t="s">
        <v>68</v>
      </c>
      <c r="T5" s="60">
        <v>7697177.0</v>
      </c>
      <c r="U5" s="61"/>
      <c r="W5" s="59" t="s">
        <v>68</v>
      </c>
      <c r="X5" s="60">
        <v>8531050.0</v>
      </c>
      <c r="Y5" s="61"/>
      <c r="AA5" s="59" t="s">
        <v>68</v>
      </c>
      <c r="AB5" s="60">
        <v>8746621.0</v>
      </c>
      <c r="AC5" s="61"/>
      <c r="AE5" s="59" t="s">
        <v>68</v>
      </c>
      <c r="AF5" s="60">
        <v>8165984.0</v>
      </c>
      <c r="AG5" s="61"/>
      <c r="AI5" s="59" t="s">
        <v>68</v>
      </c>
      <c r="AJ5" s="60">
        <v>8448264.0</v>
      </c>
      <c r="AK5" s="61"/>
      <c r="AM5" s="59" t="s">
        <v>68</v>
      </c>
      <c r="AN5" s="60">
        <v>8433181.0</v>
      </c>
      <c r="AO5" s="61"/>
      <c r="AQ5" s="59" t="s">
        <v>68</v>
      </c>
      <c r="AR5" s="60">
        <v>8544605.0</v>
      </c>
      <c r="AS5" s="61"/>
      <c r="AU5" s="59" t="s">
        <v>68</v>
      </c>
      <c r="AV5" s="60">
        <v>1.1099095E7</v>
      </c>
      <c r="AW5" s="61"/>
    </row>
    <row r="6">
      <c r="A6" s="171"/>
      <c r="B6" s="171"/>
      <c r="C6" s="59" t="s">
        <v>69</v>
      </c>
      <c r="D6" s="64">
        <v>1991041.0</v>
      </c>
      <c r="E6" s="65">
        <v>0.2832</v>
      </c>
      <c r="G6" s="59" t="s">
        <v>69</v>
      </c>
      <c r="H6" s="64">
        <v>1901203.0</v>
      </c>
      <c r="I6" s="65">
        <v>0.2962</v>
      </c>
      <c r="K6" s="59" t="s">
        <v>69</v>
      </c>
      <c r="L6" s="64">
        <v>635602.0</v>
      </c>
      <c r="M6" s="65">
        <v>0.0805</v>
      </c>
      <c r="O6" s="59" t="s">
        <v>69</v>
      </c>
      <c r="P6" s="64">
        <v>787058.0</v>
      </c>
      <c r="Q6" s="65">
        <v>0.1003</v>
      </c>
      <c r="S6" s="59" t="s">
        <v>69</v>
      </c>
      <c r="T6" s="62">
        <v>-1404686.0</v>
      </c>
      <c r="U6" s="63">
        <v>-0.1825</v>
      </c>
      <c r="W6" s="59" t="s">
        <v>69</v>
      </c>
      <c r="X6" s="62">
        <v>-1189944.0</v>
      </c>
      <c r="Y6" s="63">
        <v>-0.1395</v>
      </c>
      <c r="AA6" s="59" t="s">
        <v>69</v>
      </c>
      <c r="AB6" s="62">
        <v>-996068.0</v>
      </c>
      <c r="AC6" s="63">
        <v>-0.1139</v>
      </c>
      <c r="AE6" s="59" t="s">
        <v>69</v>
      </c>
      <c r="AF6" s="62">
        <v>-66809.0</v>
      </c>
      <c r="AG6" s="63">
        <v>-0.0082</v>
      </c>
      <c r="AI6" s="59" t="s">
        <v>69</v>
      </c>
      <c r="AJ6" s="62">
        <v>-1961040.0</v>
      </c>
      <c r="AK6" s="63">
        <v>-0.2321</v>
      </c>
      <c r="AM6" s="59" t="s">
        <v>69</v>
      </c>
      <c r="AN6" s="62">
        <v>-1566073.0</v>
      </c>
      <c r="AO6" s="63">
        <v>-0.1857</v>
      </c>
      <c r="AQ6" s="59" t="s">
        <v>69</v>
      </c>
      <c r="AR6" s="62">
        <v>-1219213.0</v>
      </c>
      <c r="AS6" s="63">
        <v>-0.1427</v>
      </c>
      <c r="AU6" s="59" t="s">
        <v>69</v>
      </c>
      <c r="AV6" s="62">
        <v>-283979.0</v>
      </c>
      <c r="AW6" s="63">
        <v>-0.0256</v>
      </c>
    </row>
    <row r="7">
      <c r="A7" s="171"/>
      <c r="B7" s="171"/>
      <c r="C7" s="59" t="s">
        <v>70</v>
      </c>
      <c r="D7" s="66">
        <v>186147.0</v>
      </c>
      <c r="E7" s="58"/>
      <c r="G7" s="59" t="s">
        <v>70</v>
      </c>
      <c r="H7" s="66">
        <v>591597.0</v>
      </c>
      <c r="I7" s="58"/>
      <c r="K7" s="59" t="s">
        <v>70</v>
      </c>
      <c r="L7" s="66">
        <v>749226.0</v>
      </c>
      <c r="M7" s="58"/>
      <c r="O7" s="59" t="s">
        <v>70</v>
      </c>
      <c r="P7" s="66">
        <v>519520.0</v>
      </c>
      <c r="Q7" s="170"/>
      <c r="S7" s="59" t="s">
        <v>70</v>
      </c>
      <c r="T7" s="66">
        <v>374549.0</v>
      </c>
      <c r="U7" s="58"/>
      <c r="W7" s="59" t="s">
        <v>70</v>
      </c>
      <c r="X7" s="66">
        <v>439808.0</v>
      </c>
      <c r="Y7" s="58"/>
      <c r="AA7" s="59" t="s">
        <v>70</v>
      </c>
      <c r="AB7" s="66">
        <v>571516.0</v>
      </c>
      <c r="AC7" s="58"/>
      <c r="AE7" s="59" t="s">
        <v>70</v>
      </c>
      <c r="AF7" s="66">
        <v>414669.0</v>
      </c>
      <c r="AG7" s="58"/>
      <c r="AI7" s="59" t="s">
        <v>70</v>
      </c>
      <c r="AJ7" s="66">
        <v>395128.0</v>
      </c>
      <c r="AK7" s="58"/>
      <c r="AM7" s="59" t="s">
        <v>70</v>
      </c>
      <c r="AN7" s="66">
        <v>412752.0</v>
      </c>
      <c r="AO7" s="58"/>
      <c r="AQ7" s="59" t="s">
        <v>70</v>
      </c>
      <c r="AR7" s="66">
        <v>457675.0</v>
      </c>
      <c r="AS7" s="58"/>
      <c r="AU7" s="59" t="s">
        <v>70</v>
      </c>
      <c r="AV7" s="66">
        <v>592152.0</v>
      </c>
      <c r="AW7" s="58"/>
    </row>
    <row r="8">
      <c r="A8" s="171"/>
      <c r="B8" s="171"/>
      <c r="C8" s="67" t="s">
        <v>71</v>
      </c>
      <c r="D8" s="68">
        <v>3194643.0</v>
      </c>
      <c r="E8" s="58"/>
      <c r="G8" s="67" t="s">
        <v>71</v>
      </c>
      <c r="H8" s="68">
        <v>2160296.0</v>
      </c>
      <c r="I8" s="58"/>
      <c r="K8" s="67" t="s">
        <v>71</v>
      </c>
      <c r="L8" s="68">
        <v>2162743.0</v>
      </c>
      <c r="M8" s="58"/>
      <c r="O8" s="67" t="s">
        <v>71</v>
      </c>
      <c r="P8" s="68">
        <v>2570555.0</v>
      </c>
      <c r="Q8" s="170"/>
      <c r="S8" s="67" t="s">
        <v>71</v>
      </c>
      <c r="T8" s="68">
        <v>2144881.0</v>
      </c>
      <c r="U8" s="58"/>
      <c r="W8" s="67" t="s">
        <v>71</v>
      </c>
      <c r="X8" s="68">
        <v>1714756.0</v>
      </c>
      <c r="Y8" s="58"/>
      <c r="AA8" s="67" t="s">
        <v>71</v>
      </c>
      <c r="AB8" s="68">
        <v>1848292.0</v>
      </c>
      <c r="AC8" s="58"/>
      <c r="AE8" s="67" t="s">
        <v>71</v>
      </c>
      <c r="AF8" s="68">
        <v>2051811.0</v>
      </c>
      <c r="AG8" s="58"/>
      <c r="AI8" s="67" t="s">
        <v>71</v>
      </c>
      <c r="AJ8" s="68">
        <v>2209769.0</v>
      </c>
      <c r="AK8" s="58"/>
      <c r="AM8" s="67" t="s">
        <v>71</v>
      </c>
      <c r="AN8" s="68">
        <v>1709706.0</v>
      </c>
      <c r="AO8" s="58"/>
      <c r="AQ8" s="67" t="s">
        <v>71</v>
      </c>
      <c r="AR8" s="68">
        <v>1723001.0</v>
      </c>
      <c r="AS8" s="58"/>
      <c r="AU8" s="67" t="s">
        <v>71</v>
      </c>
      <c r="AV8" s="68">
        <v>1987727.0</v>
      </c>
      <c r="AW8" s="58"/>
    </row>
    <row r="9">
      <c r="A9" s="171"/>
      <c r="B9" s="171"/>
      <c r="C9" s="67" t="s">
        <v>72</v>
      </c>
      <c r="D9" s="68">
        <v>775159.0</v>
      </c>
      <c r="E9" s="58"/>
      <c r="G9" s="67" t="s">
        <v>72</v>
      </c>
      <c r="H9" s="68">
        <v>653589.0</v>
      </c>
      <c r="I9" s="58"/>
      <c r="K9" s="67" t="s">
        <v>72</v>
      </c>
      <c r="L9" s="68">
        <v>608599.0</v>
      </c>
      <c r="M9" s="58"/>
      <c r="O9" s="67" t="s">
        <v>72</v>
      </c>
      <c r="P9" s="68">
        <v>819771.0</v>
      </c>
      <c r="Q9" s="170"/>
      <c r="S9" s="67" t="s">
        <v>72</v>
      </c>
      <c r="T9" s="68">
        <v>658827.0</v>
      </c>
      <c r="U9" s="58"/>
      <c r="W9" s="67" t="s">
        <v>72</v>
      </c>
      <c r="X9" s="68">
        <v>477410.0</v>
      </c>
      <c r="Y9" s="58"/>
      <c r="AA9" s="67" t="s">
        <v>72</v>
      </c>
      <c r="AB9" s="68">
        <v>669943.0</v>
      </c>
      <c r="AC9" s="58"/>
      <c r="AE9" s="67" t="s">
        <v>72</v>
      </c>
      <c r="AF9" s="68">
        <v>633038.0</v>
      </c>
      <c r="AG9" s="58"/>
      <c r="AI9" s="67" t="s">
        <v>72</v>
      </c>
      <c r="AJ9" s="68">
        <v>473159.0</v>
      </c>
      <c r="AK9" s="58"/>
      <c r="AM9" s="67" t="s">
        <v>72</v>
      </c>
      <c r="AN9" s="68">
        <v>480541.0</v>
      </c>
      <c r="AO9" s="58"/>
      <c r="AQ9" s="67" t="s">
        <v>72</v>
      </c>
      <c r="AR9" s="68">
        <v>497227.0</v>
      </c>
      <c r="AS9" s="58"/>
      <c r="AU9" s="67" t="s">
        <v>72</v>
      </c>
      <c r="AV9" s="68">
        <v>707199.0</v>
      </c>
      <c r="AW9" s="58"/>
    </row>
    <row r="10">
      <c r="A10" s="171"/>
      <c r="B10" s="171"/>
      <c r="C10" s="69" t="s">
        <v>73</v>
      </c>
      <c r="D10" s="70">
        <v>3969802.0</v>
      </c>
      <c r="E10" s="61"/>
      <c r="G10" s="69" t="s">
        <v>73</v>
      </c>
      <c r="H10" s="70">
        <v>2813885.0</v>
      </c>
      <c r="I10" s="61"/>
      <c r="K10" s="69" t="s">
        <v>73</v>
      </c>
      <c r="L10" s="70">
        <v>2771342.0</v>
      </c>
      <c r="M10" s="61"/>
      <c r="O10" s="69" t="s">
        <v>73</v>
      </c>
      <c r="P10" s="70">
        <v>3390326.0</v>
      </c>
      <c r="Q10" s="173"/>
      <c r="S10" s="69" t="s">
        <v>73</v>
      </c>
      <c r="T10" s="70">
        <v>2803708.0</v>
      </c>
      <c r="U10" s="61"/>
      <c r="W10" s="69" t="s">
        <v>73</v>
      </c>
      <c r="X10" s="70">
        <v>2192166.0</v>
      </c>
      <c r="Y10" s="61"/>
      <c r="AA10" s="69" t="s">
        <v>73</v>
      </c>
      <c r="AB10" s="70">
        <v>2518235.0</v>
      </c>
      <c r="AC10" s="61"/>
      <c r="AE10" s="69" t="s">
        <v>73</v>
      </c>
      <c r="AF10" s="70">
        <v>2684849.0</v>
      </c>
      <c r="AG10" s="61"/>
      <c r="AI10" s="69" t="s">
        <v>73</v>
      </c>
      <c r="AJ10" s="70">
        <v>2682928.0</v>
      </c>
      <c r="AK10" s="61"/>
      <c r="AM10" s="69" t="s">
        <v>73</v>
      </c>
      <c r="AN10" s="70">
        <v>2190246.0</v>
      </c>
      <c r="AO10" s="61"/>
      <c r="AQ10" s="69" t="s">
        <v>73</v>
      </c>
      <c r="AR10" s="70">
        <v>2220228.0</v>
      </c>
      <c r="AS10" s="61"/>
      <c r="AU10" s="69" t="s">
        <v>73</v>
      </c>
      <c r="AV10" s="70">
        <v>2694926.0</v>
      </c>
      <c r="AW10" s="61"/>
    </row>
    <row r="11">
      <c r="A11" s="174"/>
      <c r="B11" s="174"/>
      <c r="C11" s="175" t="s">
        <v>74</v>
      </c>
      <c r="D11" s="176">
        <v>0.4401</v>
      </c>
      <c r="E11" s="177">
        <v>2.27</v>
      </c>
      <c r="G11" s="175" t="s">
        <v>74</v>
      </c>
      <c r="H11" s="176">
        <v>0.3382</v>
      </c>
      <c r="I11" s="177">
        <v>2.96</v>
      </c>
      <c r="K11" s="175" t="s">
        <v>74</v>
      </c>
      <c r="L11" s="176">
        <v>0.325</v>
      </c>
      <c r="M11" s="177">
        <v>3.08</v>
      </c>
      <c r="O11" s="175" t="s">
        <v>74</v>
      </c>
      <c r="P11" s="176">
        <v>0.3925</v>
      </c>
      <c r="Q11" s="177">
        <v>2.55</v>
      </c>
      <c r="S11" s="175" t="s">
        <v>74</v>
      </c>
      <c r="T11" s="176">
        <v>0.4456</v>
      </c>
      <c r="U11" s="177">
        <v>2.24</v>
      </c>
      <c r="W11" s="175" t="s">
        <v>74</v>
      </c>
      <c r="X11" s="176">
        <v>0.2986</v>
      </c>
      <c r="Y11" s="177">
        <v>3.35</v>
      </c>
      <c r="AA11" s="175" t="s">
        <v>74</v>
      </c>
      <c r="AB11" s="176">
        <v>0.3249</v>
      </c>
      <c r="AC11" s="177">
        <v>3.08</v>
      </c>
      <c r="AE11" s="175" t="s">
        <v>74</v>
      </c>
      <c r="AF11" s="176">
        <v>0.3315</v>
      </c>
      <c r="AG11" s="177">
        <v>3.02</v>
      </c>
      <c r="AI11" s="71" t="s">
        <v>74</v>
      </c>
      <c r="AJ11" s="72">
        <v>0.4136</v>
      </c>
      <c r="AK11" s="73">
        <v>2.42</v>
      </c>
      <c r="AM11" s="71" t="s">
        <v>74</v>
      </c>
      <c r="AN11" s="72">
        <v>0.3189</v>
      </c>
      <c r="AO11" s="73">
        <v>3.14</v>
      </c>
      <c r="AQ11" s="71" t="s">
        <v>74</v>
      </c>
      <c r="AR11" s="72">
        <v>0.3031</v>
      </c>
      <c r="AS11" s="73">
        <v>3.3</v>
      </c>
      <c r="AU11" s="71" t="s">
        <v>74</v>
      </c>
      <c r="AV11" s="72">
        <v>0.2492</v>
      </c>
      <c r="AW11" s="73">
        <v>4.01</v>
      </c>
    </row>
    <row r="12">
      <c r="A12" s="171"/>
      <c r="B12" s="171"/>
      <c r="C12" s="74" t="s">
        <v>75</v>
      </c>
      <c r="D12" s="75">
        <v>2938870.0</v>
      </c>
      <c r="E12" s="58"/>
      <c r="G12" s="74" t="s">
        <v>75</v>
      </c>
      <c r="H12" s="75">
        <v>2838347.0</v>
      </c>
      <c r="I12" s="58"/>
      <c r="K12" s="74" t="s">
        <v>75</v>
      </c>
      <c r="L12" s="75">
        <v>2857709.0</v>
      </c>
      <c r="M12" s="58"/>
      <c r="O12" s="74" t="s">
        <v>75</v>
      </c>
      <c r="P12" s="75">
        <v>2715598.0</v>
      </c>
      <c r="Q12" s="170"/>
      <c r="S12" s="74" t="s">
        <v>75</v>
      </c>
      <c r="T12" s="75">
        <v>2555140.0</v>
      </c>
      <c r="U12" s="58"/>
      <c r="W12" s="74" t="s">
        <v>75</v>
      </c>
      <c r="X12" s="75">
        <v>2779096.0</v>
      </c>
      <c r="Y12" s="58"/>
      <c r="AA12" s="74" t="s">
        <v>75</v>
      </c>
      <c r="AB12" s="75">
        <v>2814776.0</v>
      </c>
      <c r="AC12" s="58"/>
      <c r="AE12" s="74" t="s">
        <v>75</v>
      </c>
      <c r="AF12" s="75">
        <v>2793904.0</v>
      </c>
      <c r="AG12" s="58"/>
      <c r="AI12" s="74" t="s">
        <v>75</v>
      </c>
      <c r="AJ12" s="75">
        <v>2723464.0</v>
      </c>
      <c r="AK12" s="58"/>
      <c r="AM12" s="74" t="s">
        <v>75</v>
      </c>
      <c r="AN12" s="75">
        <v>2646268.0</v>
      </c>
      <c r="AO12" s="58"/>
      <c r="AQ12" s="74" t="s">
        <v>75</v>
      </c>
      <c r="AR12" s="75">
        <v>2865132.0</v>
      </c>
      <c r="AS12" s="58"/>
      <c r="AU12" s="74" t="s">
        <v>75</v>
      </c>
      <c r="AV12" s="75">
        <v>2927885.0</v>
      </c>
      <c r="AW12" s="58"/>
    </row>
    <row r="13">
      <c r="A13" s="178"/>
      <c r="B13" s="178"/>
      <c r="C13" s="76"/>
      <c r="D13" s="77"/>
      <c r="E13" s="58"/>
      <c r="G13" s="76"/>
      <c r="H13" s="77"/>
      <c r="I13" s="58"/>
      <c r="K13" s="76"/>
      <c r="L13" s="77"/>
      <c r="M13" s="58"/>
      <c r="O13" s="179"/>
      <c r="P13" s="180"/>
      <c r="Q13" s="170"/>
      <c r="S13" s="76"/>
      <c r="T13" s="77"/>
      <c r="U13" s="58"/>
      <c r="W13" s="76"/>
      <c r="X13" s="77"/>
      <c r="Y13" s="58"/>
      <c r="AA13" s="76"/>
      <c r="AB13" s="77"/>
      <c r="AC13" s="58"/>
      <c r="AE13" s="76"/>
      <c r="AF13" s="77"/>
      <c r="AG13" s="58"/>
      <c r="AI13" s="76"/>
      <c r="AJ13" s="77"/>
      <c r="AK13" s="58"/>
      <c r="AM13" s="76"/>
      <c r="AN13" s="77"/>
      <c r="AO13" s="58"/>
      <c r="AQ13" s="76"/>
      <c r="AR13" s="77"/>
      <c r="AS13" s="58"/>
      <c r="AU13" s="76"/>
      <c r="AV13" s="77"/>
      <c r="AW13" s="58"/>
    </row>
    <row r="14">
      <c r="A14" s="171"/>
      <c r="B14" s="171"/>
      <c r="C14" s="74" t="s">
        <v>76</v>
      </c>
      <c r="D14" s="75">
        <v>6908671.0</v>
      </c>
      <c r="E14" s="58"/>
      <c r="G14" s="74" t="s">
        <v>76</v>
      </c>
      <c r="H14" s="75">
        <v>5652232.0</v>
      </c>
      <c r="I14" s="58"/>
      <c r="K14" s="74" t="s">
        <v>76</v>
      </c>
      <c r="L14" s="75">
        <v>5629052.0</v>
      </c>
      <c r="M14" s="58"/>
      <c r="O14" s="74" t="s">
        <v>76</v>
      </c>
      <c r="P14" s="75">
        <v>6105924.0</v>
      </c>
      <c r="Q14" s="170"/>
      <c r="S14" s="74" t="s">
        <v>76</v>
      </c>
      <c r="T14" s="75">
        <v>5358849.0</v>
      </c>
      <c r="U14" s="58"/>
      <c r="W14" s="74" t="s">
        <v>76</v>
      </c>
      <c r="X14" s="75">
        <v>4971262.0</v>
      </c>
      <c r="Y14" s="58"/>
      <c r="AA14" s="74" t="s">
        <v>76</v>
      </c>
      <c r="AB14" s="75">
        <v>5333011.0</v>
      </c>
      <c r="AC14" s="58"/>
      <c r="AE14" s="74" t="s">
        <v>76</v>
      </c>
      <c r="AF14" s="75">
        <v>5478753.0</v>
      </c>
      <c r="AG14" s="58"/>
      <c r="AI14" s="74" t="s">
        <v>76</v>
      </c>
      <c r="AJ14" s="75">
        <v>5406392.0</v>
      </c>
      <c r="AK14" s="58"/>
      <c r="AM14" s="74" t="s">
        <v>76</v>
      </c>
      <c r="AN14" s="75">
        <v>4836514.0</v>
      </c>
      <c r="AO14" s="58"/>
      <c r="AQ14" s="74" t="s">
        <v>76</v>
      </c>
      <c r="AR14" s="75">
        <v>5085359.0</v>
      </c>
      <c r="AS14" s="58"/>
      <c r="AU14" s="74" t="s">
        <v>76</v>
      </c>
      <c r="AV14" s="75">
        <v>5622810.0</v>
      </c>
      <c r="AW14" s="58"/>
    </row>
    <row r="15">
      <c r="A15" s="171"/>
      <c r="B15" s="171"/>
      <c r="C15" s="78" t="s">
        <v>77</v>
      </c>
      <c r="D15" s="79">
        <v>2112083.0</v>
      </c>
      <c r="E15" s="58"/>
      <c r="G15" s="78" t="s">
        <v>77</v>
      </c>
      <c r="H15" s="79">
        <v>2668107.0</v>
      </c>
      <c r="I15" s="58"/>
      <c r="K15" s="78" t="s">
        <v>77</v>
      </c>
      <c r="L15" s="79">
        <v>2897695.0</v>
      </c>
      <c r="M15" s="58"/>
      <c r="O15" s="78" t="s">
        <v>77</v>
      </c>
      <c r="P15" s="79">
        <v>2532050.0</v>
      </c>
      <c r="Q15" s="170"/>
      <c r="S15" s="78" t="s">
        <v>77</v>
      </c>
      <c r="T15" s="79">
        <v>933643.0</v>
      </c>
      <c r="U15" s="58"/>
      <c r="W15" s="78" t="s">
        <v>77</v>
      </c>
      <c r="X15" s="79">
        <v>2369844.0</v>
      </c>
      <c r="Y15" s="58"/>
      <c r="AA15" s="78" t="s">
        <v>77</v>
      </c>
      <c r="AB15" s="79">
        <v>2417542.0</v>
      </c>
      <c r="AC15" s="58"/>
      <c r="AE15" s="78" t="s">
        <v>77</v>
      </c>
      <c r="AF15" s="79">
        <v>2620421.0</v>
      </c>
      <c r="AG15" s="58"/>
      <c r="AI15" s="78" t="s">
        <v>77</v>
      </c>
      <c r="AJ15" s="79">
        <v>1080831.0</v>
      </c>
      <c r="AK15" s="58"/>
      <c r="AM15" s="78" t="s">
        <v>77</v>
      </c>
      <c r="AN15" s="79">
        <v>2030593.0</v>
      </c>
      <c r="AO15" s="58"/>
      <c r="AQ15" s="78" t="s">
        <v>77</v>
      </c>
      <c r="AR15" s="79">
        <v>2240032.0</v>
      </c>
      <c r="AS15" s="58"/>
      <c r="AU15" s="78" t="s">
        <v>77</v>
      </c>
      <c r="AV15" s="79">
        <v>5192306.0</v>
      </c>
      <c r="AW15" s="58"/>
    </row>
    <row r="16">
      <c r="A16" s="171"/>
      <c r="B16" s="171"/>
      <c r="C16" s="78" t="s">
        <v>78</v>
      </c>
      <c r="D16" s="80"/>
      <c r="E16" s="58"/>
      <c r="G16" s="78" t="s">
        <v>78</v>
      </c>
      <c r="H16" s="80"/>
      <c r="I16" s="58"/>
      <c r="K16" s="78" t="s">
        <v>78</v>
      </c>
      <c r="L16" s="80"/>
      <c r="M16" s="58"/>
      <c r="O16" s="78" t="s">
        <v>78</v>
      </c>
      <c r="P16" s="181"/>
      <c r="Q16" s="170"/>
      <c r="S16" s="78" t="s">
        <v>78</v>
      </c>
      <c r="T16" s="80"/>
      <c r="U16" s="58"/>
      <c r="W16" s="78" t="s">
        <v>78</v>
      </c>
      <c r="X16" s="80"/>
      <c r="Y16" s="58"/>
      <c r="AA16" s="78" t="s">
        <v>78</v>
      </c>
      <c r="AB16" s="80"/>
      <c r="AC16" s="58"/>
      <c r="AE16" s="78" t="s">
        <v>78</v>
      </c>
      <c r="AF16" s="80"/>
      <c r="AG16" s="58"/>
      <c r="AI16" s="78" t="s">
        <v>78</v>
      </c>
      <c r="AJ16" s="80"/>
      <c r="AK16" s="58"/>
      <c r="AM16" s="78" t="s">
        <v>78</v>
      </c>
      <c r="AN16" s="80"/>
      <c r="AO16" s="58"/>
      <c r="AQ16" s="78" t="s">
        <v>78</v>
      </c>
      <c r="AR16" s="80"/>
      <c r="AS16" s="58"/>
      <c r="AU16" s="78" t="s">
        <v>78</v>
      </c>
      <c r="AV16" s="80"/>
      <c r="AW16" s="58"/>
    </row>
    <row r="17">
      <c r="A17" s="171"/>
      <c r="B17" s="171"/>
      <c r="C17" s="78" t="s">
        <v>79</v>
      </c>
      <c r="D17" s="79">
        <v>112083.0</v>
      </c>
      <c r="E17" s="58"/>
      <c r="G17" s="78" t="s">
        <v>79</v>
      </c>
      <c r="H17" s="79">
        <v>168107.0</v>
      </c>
      <c r="I17" s="58"/>
      <c r="K17" s="78" t="s">
        <v>79</v>
      </c>
      <c r="L17" s="79">
        <v>197695.0</v>
      </c>
      <c r="M17" s="58"/>
      <c r="O17" s="78" t="s">
        <v>79</v>
      </c>
      <c r="P17" s="79">
        <v>32050.0</v>
      </c>
      <c r="Q17" s="170"/>
      <c r="S17" s="78" t="s">
        <v>79</v>
      </c>
      <c r="T17" s="81">
        <v>0.0</v>
      </c>
      <c r="U17" s="58"/>
      <c r="W17" s="78" t="s">
        <v>79</v>
      </c>
      <c r="X17" s="79">
        <v>169844.0</v>
      </c>
      <c r="Y17" s="58"/>
      <c r="AA17" s="78" t="s">
        <v>79</v>
      </c>
      <c r="AB17" s="79">
        <v>17542.0</v>
      </c>
      <c r="AC17" s="58"/>
      <c r="AE17" s="78" t="s">
        <v>79</v>
      </c>
      <c r="AF17" s="79">
        <v>20421.0</v>
      </c>
      <c r="AG17" s="58"/>
      <c r="AI17" s="78" t="s">
        <v>79</v>
      </c>
      <c r="AJ17" s="79">
        <v>80831.0</v>
      </c>
      <c r="AK17" s="58"/>
      <c r="AM17" s="78" t="s">
        <v>79</v>
      </c>
      <c r="AN17" s="79">
        <v>30593.0</v>
      </c>
      <c r="AO17" s="58"/>
      <c r="AQ17" s="78" t="s">
        <v>79</v>
      </c>
      <c r="AR17" s="79">
        <v>40032.0</v>
      </c>
      <c r="AS17" s="58"/>
      <c r="AU17" s="78" t="s">
        <v>79</v>
      </c>
      <c r="AV17" s="79">
        <v>69579.0</v>
      </c>
      <c r="AW17" s="58"/>
    </row>
    <row r="18">
      <c r="A18" s="178"/>
      <c r="B18" s="178"/>
      <c r="C18" s="82"/>
      <c r="D18" s="80"/>
      <c r="E18" s="58"/>
      <c r="G18" s="82"/>
      <c r="H18" s="80"/>
      <c r="I18" s="58"/>
      <c r="K18" s="82"/>
      <c r="L18" s="80"/>
      <c r="M18" s="58"/>
      <c r="O18" s="182"/>
      <c r="P18" s="181"/>
      <c r="Q18" s="170"/>
      <c r="S18" s="82"/>
      <c r="T18" s="80"/>
      <c r="U18" s="58"/>
      <c r="W18" s="82"/>
      <c r="X18" s="80"/>
      <c r="Y18" s="58"/>
      <c r="AA18" s="82"/>
      <c r="AB18" s="80"/>
      <c r="AC18" s="58"/>
      <c r="AE18" s="82"/>
      <c r="AF18" s="80"/>
      <c r="AG18" s="58"/>
      <c r="AI18" s="82"/>
      <c r="AJ18" s="80"/>
      <c r="AK18" s="58"/>
      <c r="AM18" s="82"/>
      <c r="AN18" s="80"/>
      <c r="AO18" s="58"/>
      <c r="AQ18" s="82"/>
      <c r="AR18" s="80"/>
      <c r="AS18" s="58"/>
      <c r="AU18" s="82"/>
      <c r="AV18" s="80"/>
      <c r="AW18" s="58"/>
    </row>
    <row r="19">
      <c r="A19" s="171"/>
      <c r="B19" s="171"/>
      <c r="C19" s="59" t="s">
        <v>80</v>
      </c>
      <c r="D19" s="66">
        <v>2000000.0</v>
      </c>
      <c r="E19" s="58"/>
      <c r="G19" s="59" t="s">
        <v>80</v>
      </c>
      <c r="H19" s="66">
        <v>2500000.0</v>
      </c>
      <c r="I19" s="58"/>
      <c r="K19" s="59" t="s">
        <v>80</v>
      </c>
      <c r="L19" s="66">
        <v>2700000.0</v>
      </c>
      <c r="M19" s="58"/>
      <c r="O19" s="59" t="s">
        <v>80</v>
      </c>
      <c r="P19" s="66">
        <v>2500000.0</v>
      </c>
      <c r="Q19" s="170"/>
      <c r="S19" s="59" t="s">
        <v>80</v>
      </c>
      <c r="T19" s="66">
        <v>933643.0</v>
      </c>
      <c r="U19" s="58"/>
      <c r="W19" s="59" t="s">
        <v>80</v>
      </c>
      <c r="X19" s="66">
        <v>2200000.0</v>
      </c>
      <c r="Y19" s="58"/>
      <c r="AA19" s="59" t="s">
        <v>80</v>
      </c>
      <c r="AB19" s="66">
        <v>2400000.0</v>
      </c>
      <c r="AC19" s="58"/>
      <c r="AE19" s="59" t="s">
        <v>80</v>
      </c>
      <c r="AF19" s="66">
        <v>2600000.0</v>
      </c>
      <c r="AG19" s="58"/>
      <c r="AI19" s="59" t="s">
        <v>80</v>
      </c>
      <c r="AJ19" s="66">
        <v>1000000.0</v>
      </c>
      <c r="AK19" s="58"/>
      <c r="AM19" s="59" t="s">
        <v>80</v>
      </c>
      <c r="AN19" s="66">
        <v>2000000.0</v>
      </c>
      <c r="AO19" s="58"/>
      <c r="AQ19" s="59" t="s">
        <v>80</v>
      </c>
      <c r="AR19" s="66">
        <v>2200000.0</v>
      </c>
      <c r="AS19" s="58"/>
      <c r="AU19" s="59" t="s">
        <v>80</v>
      </c>
      <c r="AV19" s="66">
        <v>5122727.0</v>
      </c>
      <c r="AW19" s="58"/>
    </row>
    <row r="20">
      <c r="A20" s="171"/>
      <c r="B20" s="171"/>
      <c r="C20" s="83" t="s">
        <v>81</v>
      </c>
      <c r="D20" s="84">
        <v>20000.0</v>
      </c>
      <c r="E20" s="58"/>
      <c r="G20" s="83" t="s">
        <v>81</v>
      </c>
      <c r="H20" s="84">
        <v>25000.0</v>
      </c>
      <c r="I20" s="58"/>
      <c r="K20" s="83" t="s">
        <v>81</v>
      </c>
      <c r="L20" s="84">
        <v>27000.0</v>
      </c>
      <c r="M20" s="58"/>
      <c r="O20" s="83" t="s">
        <v>81</v>
      </c>
      <c r="P20" s="84">
        <v>25000.0</v>
      </c>
      <c r="Q20" s="170"/>
      <c r="S20" s="83" t="s">
        <v>81</v>
      </c>
      <c r="T20" s="84">
        <v>9336.0</v>
      </c>
      <c r="U20" s="58"/>
      <c r="W20" s="83" t="s">
        <v>81</v>
      </c>
      <c r="X20" s="84">
        <v>22000.0</v>
      </c>
      <c r="Y20" s="58"/>
      <c r="AA20" s="83" t="s">
        <v>81</v>
      </c>
      <c r="AB20" s="84">
        <v>24000.0</v>
      </c>
      <c r="AC20" s="178"/>
      <c r="AE20" s="83" t="s">
        <v>81</v>
      </c>
      <c r="AF20" s="84">
        <v>26000.0</v>
      </c>
      <c r="AG20" s="58"/>
      <c r="AI20" s="83" t="s">
        <v>81</v>
      </c>
      <c r="AJ20" s="84">
        <v>10000.0</v>
      </c>
      <c r="AK20" s="58"/>
      <c r="AM20" s="83" t="s">
        <v>81</v>
      </c>
      <c r="AN20" s="84">
        <v>20000.0</v>
      </c>
      <c r="AO20" s="58"/>
      <c r="AQ20" s="83" t="s">
        <v>81</v>
      </c>
      <c r="AR20" s="84">
        <v>22000.0</v>
      </c>
      <c r="AS20" s="58"/>
      <c r="AU20" s="83" t="s">
        <v>81</v>
      </c>
      <c r="AV20" s="84">
        <v>51227.0</v>
      </c>
      <c r="AW20" s="58"/>
    </row>
    <row r="21">
      <c r="A21" s="183"/>
      <c r="B21" s="183"/>
      <c r="C21" s="183"/>
      <c r="D21" s="86"/>
      <c r="E21" s="86"/>
      <c r="G21" s="183"/>
      <c r="H21" s="86"/>
      <c r="I21" s="86"/>
      <c r="K21" s="183"/>
      <c r="L21" s="86"/>
      <c r="M21" s="86"/>
      <c r="O21" s="184"/>
      <c r="P21" s="86"/>
      <c r="Q21" s="86"/>
      <c r="S21" s="183"/>
      <c r="T21" s="86"/>
      <c r="U21" s="86"/>
      <c r="W21" s="183"/>
      <c r="X21" s="86"/>
      <c r="Y21" s="86"/>
      <c r="AA21" s="183"/>
      <c r="AB21" s="86"/>
      <c r="AC21" s="86"/>
      <c r="AE21" s="183"/>
      <c r="AF21" s="86"/>
      <c r="AG21" s="86"/>
      <c r="AI21" s="183"/>
      <c r="AJ21" s="86"/>
      <c r="AK21" s="86"/>
      <c r="AM21" s="183"/>
      <c r="AN21" s="86"/>
      <c r="AO21" s="86"/>
      <c r="AQ21" s="183"/>
      <c r="AR21" s="86"/>
      <c r="AS21" s="86"/>
      <c r="AU21" s="183"/>
      <c r="AV21" s="86"/>
      <c r="AW21" s="86"/>
    </row>
    <row r="22">
      <c r="A22" s="171"/>
      <c r="B22" s="171"/>
      <c r="C22" s="87" t="s">
        <v>82</v>
      </c>
      <c r="D22" s="88" t="s">
        <v>83</v>
      </c>
      <c r="E22" s="88" t="s">
        <v>84</v>
      </c>
      <c r="G22" s="87" t="s">
        <v>82</v>
      </c>
      <c r="H22" s="88" t="s">
        <v>83</v>
      </c>
      <c r="I22" s="88" t="s">
        <v>84</v>
      </c>
      <c r="K22" s="87" t="s">
        <v>82</v>
      </c>
      <c r="L22" s="88" t="s">
        <v>83</v>
      </c>
      <c r="M22" s="88" t="s">
        <v>84</v>
      </c>
      <c r="O22" s="87" t="s">
        <v>82</v>
      </c>
      <c r="P22" s="88" t="s">
        <v>83</v>
      </c>
      <c r="Q22" s="88" t="s">
        <v>84</v>
      </c>
      <c r="S22" s="87" t="s">
        <v>82</v>
      </c>
      <c r="T22" s="88" t="s">
        <v>83</v>
      </c>
      <c r="U22" s="88" t="s">
        <v>84</v>
      </c>
      <c r="W22" s="87" t="s">
        <v>82</v>
      </c>
      <c r="X22" s="88" t="s">
        <v>83</v>
      </c>
      <c r="Y22" s="88" t="s">
        <v>84</v>
      </c>
      <c r="AA22" s="87" t="s">
        <v>82</v>
      </c>
      <c r="AB22" s="88" t="s">
        <v>83</v>
      </c>
      <c r="AC22" s="88" t="s">
        <v>84</v>
      </c>
      <c r="AE22" s="87" t="s">
        <v>82</v>
      </c>
      <c r="AF22" s="88" t="s">
        <v>83</v>
      </c>
      <c r="AG22" s="88" t="s">
        <v>84</v>
      </c>
      <c r="AI22" s="87" t="s">
        <v>82</v>
      </c>
      <c r="AJ22" s="88" t="s">
        <v>83</v>
      </c>
      <c r="AK22" s="88" t="s">
        <v>84</v>
      </c>
      <c r="AM22" s="87" t="s">
        <v>82</v>
      </c>
      <c r="AN22" s="88" t="s">
        <v>83</v>
      </c>
      <c r="AO22" s="88" t="s">
        <v>84</v>
      </c>
      <c r="AQ22" s="87" t="s">
        <v>82</v>
      </c>
      <c r="AR22" s="88" t="s">
        <v>83</v>
      </c>
      <c r="AS22" s="88" t="s">
        <v>84</v>
      </c>
      <c r="AU22" s="87" t="s">
        <v>82</v>
      </c>
      <c r="AV22" s="88" t="s">
        <v>83</v>
      </c>
      <c r="AW22" s="88" t="s">
        <v>84</v>
      </c>
    </row>
    <row r="23">
      <c r="A23" s="171"/>
      <c r="B23" s="171"/>
      <c r="C23" s="91" t="s">
        <v>85</v>
      </c>
      <c r="D23" s="92">
        <v>0.0</v>
      </c>
      <c r="E23" s="93">
        <v>0.0</v>
      </c>
      <c r="G23" s="91" t="s">
        <v>85</v>
      </c>
      <c r="H23" s="92">
        <v>0.0</v>
      </c>
      <c r="I23" s="93">
        <v>0.0</v>
      </c>
      <c r="K23" s="91" t="s">
        <v>85</v>
      </c>
      <c r="L23" s="92">
        <v>0.0</v>
      </c>
      <c r="M23" s="93">
        <v>0.0</v>
      </c>
      <c r="O23" s="91" t="s">
        <v>85</v>
      </c>
      <c r="P23" s="92">
        <v>0.0</v>
      </c>
      <c r="Q23" s="185">
        <v>0.0</v>
      </c>
      <c r="S23" s="91" t="s">
        <v>85</v>
      </c>
      <c r="T23" s="92">
        <v>0.0</v>
      </c>
      <c r="U23" s="93">
        <v>0.0</v>
      </c>
      <c r="W23" s="91" t="s">
        <v>85</v>
      </c>
      <c r="X23" s="92">
        <v>0.0</v>
      </c>
      <c r="Y23" s="93">
        <v>0.0</v>
      </c>
      <c r="AA23" s="91" t="s">
        <v>85</v>
      </c>
      <c r="AB23" s="92">
        <v>0.01</v>
      </c>
      <c r="AC23" s="93">
        <v>0.0</v>
      </c>
      <c r="AE23" s="91" t="s">
        <v>85</v>
      </c>
      <c r="AF23" s="92">
        <v>0.01</v>
      </c>
      <c r="AG23" s="93">
        <v>0.0</v>
      </c>
      <c r="AI23" s="91" t="s">
        <v>85</v>
      </c>
      <c r="AJ23" s="92">
        <v>0.01</v>
      </c>
      <c r="AK23" s="93">
        <v>0.0</v>
      </c>
      <c r="AM23" s="91" t="s">
        <v>85</v>
      </c>
      <c r="AN23" s="92">
        <v>0.01</v>
      </c>
      <c r="AO23" s="93">
        <v>0.0</v>
      </c>
      <c r="AQ23" s="91" t="s">
        <v>85</v>
      </c>
      <c r="AR23" s="92">
        <v>0.01</v>
      </c>
      <c r="AS23" s="93">
        <v>0.0</v>
      </c>
      <c r="AU23" s="91" t="s">
        <v>85</v>
      </c>
      <c r="AV23" s="92">
        <v>0.01</v>
      </c>
      <c r="AW23" s="93">
        <v>0.0</v>
      </c>
    </row>
    <row r="24">
      <c r="A24" s="171"/>
      <c r="B24" s="171"/>
      <c r="C24" s="91" t="s">
        <v>86</v>
      </c>
      <c r="D24" s="92">
        <v>0.19</v>
      </c>
      <c r="E24" s="96">
        <v>0.0</v>
      </c>
      <c r="G24" s="91" t="s">
        <v>86</v>
      </c>
      <c r="H24" s="92">
        <v>0.21</v>
      </c>
      <c r="I24" s="96">
        <v>0.0</v>
      </c>
      <c r="K24" s="91" t="s">
        <v>86</v>
      </c>
      <c r="L24" s="92">
        <v>0.22</v>
      </c>
      <c r="M24" s="96">
        <v>0.0</v>
      </c>
      <c r="O24" s="91" t="s">
        <v>86</v>
      </c>
      <c r="P24" s="92">
        <v>0.2</v>
      </c>
      <c r="Q24" s="186">
        <v>0.0</v>
      </c>
      <c r="S24" s="91" t="s">
        <v>86</v>
      </c>
      <c r="T24" s="92">
        <v>0.2</v>
      </c>
      <c r="U24" s="96">
        <v>0.0</v>
      </c>
      <c r="W24" s="91" t="s">
        <v>86</v>
      </c>
      <c r="X24" s="92">
        <v>0.22</v>
      </c>
      <c r="Y24" s="96">
        <v>0.0</v>
      </c>
      <c r="AA24" s="91" t="s">
        <v>86</v>
      </c>
      <c r="AB24" s="92">
        <v>0.23</v>
      </c>
      <c r="AC24" s="96">
        <v>0.0</v>
      </c>
      <c r="AE24" s="91" t="s">
        <v>86</v>
      </c>
      <c r="AF24" s="92">
        <v>0.21</v>
      </c>
      <c r="AG24" s="96">
        <v>0.0</v>
      </c>
      <c r="AI24" s="91" t="s">
        <v>86</v>
      </c>
      <c r="AJ24" s="92">
        <v>0.21</v>
      </c>
      <c r="AK24" s="96">
        <v>0.0</v>
      </c>
      <c r="AM24" s="91" t="s">
        <v>86</v>
      </c>
      <c r="AN24" s="92">
        <v>0.25</v>
      </c>
      <c r="AO24" s="96">
        <v>0.0</v>
      </c>
      <c r="AQ24" s="91" t="s">
        <v>86</v>
      </c>
      <c r="AR24" s="92">
        <v>0.24</v>
      </c>
      <c r="AS24" s="96">
        <v>0.0</v>
      </c>
      <c r="AU24" s="91" t="s">
        <v>86</v>
      </c>
      <c r="AV24" s="92">
        <v>0.23</v>
      </c>
      <c r="AW24" s="96">
        <v>0.0</v>
      </c>
    </row>
    <row r="25">
      <c r="A25" s="171"/>
      <c r="B25" s="171"/>
      <c r="C25" s="91" t="s">
        <v>87</v>
      </c>
      <c r="D25" s="92">
        <v>0.46</v>
      </c>
      <c r="E25" s="98">
        <v>0.0</v>
      </c>
      <c r="G25" s="91" t="s">
        <v>87</v>
      </c>
      <c r="H25" s="92">
        <v>0.38</v>
      </c>
      <c r="I25" s="98">
        <v>0.0</v>
      </c>
      <c r="K25" s="91" t="s">
        <v>87</v>
      </c>
      <c r="L25" s="92">
        <v>0.38</v>
      </c>
      <c r="M25" s="98">
        <v>0.0</v>
      </c>
      <c r="O25" s="91" t="s">
        <v>87</v>
      </c>
      <c r="P25" s="92">
        <v>0.42</v>
      </c>
      <c r="Q25" s="98">
        <v>0.0</v>
      </c>
      <c r="S25" s="91" t="s">
        <v>87</v>
      </c>
      <c r="T25" s="92">
        <v>0.4</v>
      </c>
      <c r="U25" s="98">
        <v>0.0</v>
      </c>
      <c r="W25" s="91" t="s">
        <v>87</v>
      </c>
      <c r="X25" s="92">
        <v>0.34</v>
      </c>
      <c r="Y25" s="98">
        <v>0.0</v>
      </c>
      <c r="AA25" s="91" t="s">
        <v>87</v>
      </c>
      <c r="AB25" s="92">
        <v>0.35</v>
      </c>
      <c r="AC25" s="98">
        <v>0.0</v>
      </c>
      <c r="AE25" s="91" t="s">
        <v>87</v>
      </c>
      <c r="AF25" s="92">
        <v>0.37</v>
      </c>
      <c r="AG25" s="98">
        <v>0.0</v>
      </c>
      <c r="AI25" s="91" t="s">
        <v>87</v>
      </c>
      <c r="AJ25" s="92">
        <v>0.41</v>
      </c>
      <c r="AK25" s="98">
        <v>0.0</v>
      </c>
      <c r="AM25" s="91" t="s">
        <v>87</v>
      </c>
      <c r="AN25" s="92">
        <v>0.35</v>
      </c>
      <c r="AO25" s="98">
        <v>0.0</v>
      </c>
      <c r="AQ25" s="91" t="s">
        <v>87</v>
      </c>
      <c r="AR25" s="92">
        <v>0.34</v>
      </c>
      <c r="AS25" s="98">
        <v>0.0</v>
      </c>
      <c r="AU25" s="91" t="s">
        <v>87</v>
      </c>
      <c r="AV25" s="92">
        <v>0.35</v>
      </c>
      <c r="AW25" s="98">
        <v>0.0</v>
      </c>
    </row>
    <row r="26">
      <c r="A26" s="171"/>
      <c r="B26" s="171"/>
      <c r="C26" s="91" t="s">
        <v>88</v>
      </c>
      <c r="D26" s="92">
        <v>0.0</v>
      </c>
      <c r="E26" s="98">
        <v>0.0</v>
      </c>
      <c r="G26" s="91" t="s">
        <v>88</v>
      </c>
      <c r="H26" s="92">
        <v>0.0</v>
      </c>
      <c r="I26" s="98">
        <v>0.0</v>
      </c>
      <c r="K26" s="91" t="s">
        <v>88</v>
      </c>
      <c r="L26" s="92">
        <v>0.0</v>
      </c>
      <c r="M26" s="98">
        <v>0.0</v>
      </c>
      <c r="O26" s="91" t="s">
        <v>88</v>
      </c>
      <c r="P26" s="92">
        <v>0.0</v>
      </c>
      <c r="Q26" s="98">
        <v>0.0</v>
      </c>
      <c r="S26" s="91" t="s">
        <v>88</v>
      </c>
      <c r="T26" s="92">
        <v>0.0</v>
      </c>
      <c r="U26" s="98">
        <v>0.0</v>
      </c>
      <c r="W26" s="91" t="s">
        <v>88</v>
      </c>
      <c r="X26" s="92">
        <v>0.0</v>
      </c>
      <c r="Y26" s="98">
        <v>0.0</v>
      </c>
      <c r="AA26" s="91" t="s">
        <v>88</v>
      </c>
      <c r="AB26" s="92">
        <v>0.0</v>
      </c>
      <c r="AC26" s="98">
        <v>0.0</v>
      </c>
      <c r="AE26" s="91" t="s">
        <v>88</v>
      </c>
      <c r="AF26" s="92">
        <v>0.0</v>
      </c>
      <c r="AG26" s="98">
        <v>0.0</v>
      </c>
      <c r="AI26" s="91" t="s">
        <v>88</v>
      </c>
      <c r="AJ26" s="92">
        <v>0.0</v>
      </c>
      <c r="AK26" s="98">
        <v>0.0</v>
      </c>
      <c r="AM26" s="91" t="s">
        <v>88</v>
      </c>
      <c r="AN26" s="92">
        <v>0.0</v>
      </c>
      <c r="AO26" s="98">
        <v>0.0</v>
      </c>
      <c r="AQ26" s="91" t="s">
        <v>88</v>
      </c>
      <c r="AR26" s="92">
        <v>0.0</v>
      </c>
      <c r="AS26" s="98">
        <v>0.0</v>
      </c>
      <c r="AU26" s="91" t="s">
        <v>88</v>
      </c>
      <c r="AV26" s="92">
        <v>0.0</v>
      </c>
      <c r="AW26" s="98">
        <v>0.0</v>
      </c>
    </row>
    <row r="27">
      <c r="A27" s="171"/>
      <c r="B27" s="171"/>
      <c r="C27" s="91" t="s">
        <v>89</v>
      </c>
      <c r="D27" s="92">
        <v>0.0</v>
      </c>
      <c r="E27" s="98">
        <v>0.0</v>
      </c>
      <c r="G27" s="91" t="s">
        <v>89</v>
      </c>
      <c r="H27" s="92">
        <v>0.0</v>
      </c>
      <c r="I27" s="98">
        <v>0.0</v>
      </c>
      <c r="K27" s="91" t="s">
        <v>89</v>
      </c>
      <c r="L27" s="92">
        <v>0.0</v>
      </c>
      <c r="M27" s="98">
        <v>0.0</v>
      </c>
      <c r="O27" s="91" t="s">
        <v>89</v>
      </c>
      <c r="P27" s="92">
        <v>0.0</v>
      </c>
      <c r="Q27" s="98">
        <v>0.0</v>
      </c>
      <c r="S27" s="91" t="s">
        <v>89</v>
      </c>
      <c r="T27" s="92">
        <v>0.0</v>
      </c>
      <c r="U27" s="98">
        <v>0.0</v>
      </c>
      <c r="W27" s="91" t="s">
        <v>89</v>
      </c>
      <c r="X27" s="92">
        <v>0.0</v>
      </c>
      <c r="Y27" s="98">
        <v>0.0</v>
      </c>
      <c r="AA27" s="91" t="s">
        <v>89</v>
      </c>
      <c r="AB27" s="92">
        <v>0.0</v>
      </c>
      <c r="AC27" s="98">
        <v>0.0</v>
      </c>
      <c r="AE27" s="91" t="s">
        <v>89</v>
      </c>
      <c r="AF27" s="92">
        <v>0.0</v>
      </c>
      <c r="AG27" s="98">
        <v>0.0</v>
      </c>
      <c r="AI27" s="91" t="s">
        <v>89</v>
      </c>
      <c r="AJ27" s="92">
        <v>0.0</v>
      </c>
      <c r="AK27" s="98">
        <v>0.0</v>
      </c>
      <c r="AM27" s="91" t="s">
        <v>89</v>
      </c>
      <c r="AN27" s="92">
        <v>0.0</v>
      </c>
      <c r="AO27" s="98">
        <v>0.0</v>
      </c>
      <c r="AQ27" s="91" t="s">
        <v>89</v>
      </c>
      <c r="AR27" s="92">
        <v>0.0</v>
      </c>
      <c r="AS27" s="98">
        <v>0.0</v>
      </c>
      <c r="AU27" s="91" t="s">
        <v>89</v>
      </c>
      <c r="AV27" s="92">
        <v>0.0</v>
      </c>
      <c r="AW27" s="98">
        <v>0.0</v>
      </c>
    </row>
    <row r="28">
      <c r="A28" s="171"/>
      <c r="B28" s="171"/>
      <c r="C28" s="91" t="s">
        <v>90</v>
      </c>
      <c r="D28" s="92">
        <v>0.0</v>
      </c>
      <c r="E28" s="98">
        <v>0.0</v>
      </c>
      <c r="G28" s="91" t="s">
        <v>90</v>
      </c>
      <c r="H28" s="92">
        <v>0.0</v>
      </c>
      <c r="I28" s="98">
        <v>0.0</v>
      </c>
      <c r="K28" s="91" t="s">
        <v>90</v>
      </c>
      <c r="L28" s="92">
        <v>0.0</v>
      </c>
      <c r="M28" s="98">
        <v>0.0</v>
      </c>
      <c r="O28" s="91" t="s">
        <v>90</v>
      </c>
      <c r="P28" s="92">
        <v>0.0</v>
      </c>
      <c r="Q28" s="98">
        <v>0.0</v>
      </c>
      <c r="S28" s="91" t="s">
        <v>90</v>
      </c>
      <c r="T28" s="92">
        <v>0.0</v>
      </c>
      <c r="U28" s="98">
        <v>0.0</v>
      </c>
      <c r="W28" s="91" t="s">
        <v>90</v>
      </c>
      <c r="X28" s="92">
        <v>0.0</v>
      </c>
      <c r="Y28" s="98">
        <v>0.0</v>
      </c>
      <c r="AA28" s="91" t="s">
        <v>90</v>
      </c>
      <c r="AB28" s="92">
        <v>0.0</v>
      </c>
      <c r="AC28" s="98">
        <v>0.0</v>
      </c>
      <c r="AE28" s="91" t="s">
        <v>90</v>
      </c>
      <c r="AF28" s="92">
        <v>0.0</v>
      </c>
      <c r="AG28" s="98">
        <v>0.0</v>
      </c>
      <c r="AI28" s="91" t="s">
        <v>90</v>
      </c>
      <c r="AJ28" s="92">
        <v>0.0</v>
      </c>
      <c r="AK28" s="98">
        <v>0.0</v>
      </c>
      <c r="AM28" s="91" t="s">
        <v>90</v>
      </c>
      <c r="AN28" s="92">
        <v>0.0</v>
      </c>
      <c r="AO28" s="98">
        <v>0.0</v>
      </c>
      <c r="AQ28" s="91" t="s">
        <v>90</v>
      </c>
      <c r="AR28" s="92">
        <v>0.0</v>
      </c>
      <c r="AS28" s="98">
        <v>0.0</v>
      </c>
      <c r="AU28" s="91" t="s">
        <v>90</v>
      </c>
      <c r="AV28" s="92">
        <v>0.0</v>
      </c>
      <c r="AW28" s="98">
        <v>0.0</v>
      </c>
    </row>
    <row r="29">
      <c r="A29" s="171"/>
      <c r="B29" s="171"/>
      <c r="C29" s="91" t="s">
        <v>91</v>
      </c>
      <c r="D29" s="92">
        <v>0.0</v>
      </c>
      <c r="E29" s="98">
        <v>0.0</v>
      </c>
      <c r="G29" s="91" t="s">
        <v>91</v>
      </c>
      <c r="H29" s="92">
        <v>0.0</v>
      </c>
      <c r="I29" s="98">
        <v>0.0</v>
      </c>
      <c r="K29" s="91" t="s">
        <v>91</v>
      </c>
      <c r="L29" s="92">
        <v>0.0</v>
      </c>
      <c r="M29" s="98">
        <v>0.0</v>
      </c>
      <c r="O29" s="91" t="s">
        <v>91</v>
      </c>
      <c r="P29" s="92">
        <v>0.0</v>
      </c>
      <c r="Q29" s="98">
        <v>0.0</v>
      </c>
      <c r="S29" s="91" t="s">
        <v>91</v>
      </c>
      <c r="T29" s="92">
        <v>0.0</v>
      </c>
      <c r="U29" s="98">
        <v>0.0</v>
      </c>
      <c r="W29" s="91" t="s">
        <v>91</v>
      </c>
      <c r="X29" s="92">
        <v>0.0</v>
      </c>
      <c r="Y29" s="98">
        <v>0.0</v>
      </c>
      <c r="AA29" s="91" t="s">
        <v>91</v>
      </c>
      <c r="AB29" s="92">
        <v>0.0</v>
      </c>
      <c r="AC29" s="98">
        <v>0.0</v>
      </c>
      <c r="AE29" s="91" t="s">
        <v>91</v>
      </c>
      <c r="AF29" s="92">
        <v>0.0</v>
      </c>
      <c r="AG29" s="98">
        <v>0.0</v>
      </c>
      <c r="AI29" s="91" t="s">
        <v>91</v>
      </c>
      <c r="AJ29" s="92">
        <v>0.0</v>
      </c>
      <c r="AK29" s="98">
        <v>0.0</v>
      </c>
      <c r="AM29" s="91" t="s">
        <v>91</v>
      </c>
      <c r="AN29" s="92">
        <v>0.0</v>
      </c>
      <c r="AO29" s="98">
        <v>0.0</v>
      </c>
      <c r="AQ29" s="91" t="s">
        <v>91</v>
      </c>
      <c r="AR29" s="92">
        <v>0.0</v>
      </c>
      <c r="AS29" s="98">
        <v>0.0</v>
      </c>
      <c r="AU29" s="91" t="s">
        <v>91</v>
      </c>
      <c r="AV29" s="92">
        <v>0.0</v>
      </c>
      <c r="AW29" s="98">
        <v>0.0</v>
      </c>
    </row>
    <row r="30">
      <c r="A30" s="171"/>
      <c r="B30" s="171"/>
      <c r="C30" s="91" t="s">
        <v>92</v>
      </c>
      <c r="D30" s="92">
        <v>0.03</v>
      </c>
      <c r="E30" s="98">
        <v>0.0</v>
      </c>
      <c r="G30" s="91" t="s">
        <v>92</v>
      </c>
      <c r="H30" s="92">
        <v>0.03</v>
      </c>
      <c r="I30" s="98">
        <v>0.0</v>
      </c>
      <c r="K30" s="91" t="s">
        <v>92</v>
      </c>
      <c r="L30" s="92">
        <v>0.04</v>
      </c>
      <c r="M30" s="98">
        <v>0.0</v>
      </c>
      <c r="O30" s="91" t="s">
        <v>92</v>
      </c>
      <c r="P30" s="92">
        <v>0.05</v>
      </c>
      <c r="Q30" s="98">
        <v>0.0</v>
      </c>
      <c r="S30" s="91" t="s">
        <v>92</v>
      </c>
      <c r="T30" s="92">
        <v>0.05</v>
      </c>
      <c r="U30" s="98">
        <v>0.0</v>
      </c>
      <c r="W30" s="91" t="s">
        <v>92</v>
      </c>
      <c r="X30" s="92">
        <v>0.03</v>
      </c>
      <c r="Y30" s="98">
        <v>0.0</v>
      </c>
      <c r="AA30" s="91" t="s">
        <v>92</v>
      </c>
      <c r="AB30" s="92">
        <v>0.04</v>
      </c>
      <c r="AC30" s="98">
        <v>0.0</v>
      </c>
      <c r="AE30" s="91" t="s">
        <v>92</v>
      </c>
      <c r="AF30" s="92">
        <v>0.04</v>
      </c>
      <c r="AG30" s="98">
        <v>0.0</v>
      </c>
      <c r="AI30" s="91" t="s">
        <v>92</v>
      </c>
      <c r="AJ30" s="92">
        <v>0.03</v>
      </c>
      <c r="AK30" s="98">
        <v>0.0</v>
      </c>
      <c r="AM30" s="91" t="s">
        <v>92</v>
      </c>
      <c r="AN30" s="92">
        <v>0.03</v>
      </c>
      <c r="AO30" s="98">
        <v>0.0</v>
      </c>
      <c r="AQ30" s="91" t="s">
        <v>92</v>
      </c>
      <c r="AR30" s="92">
        <v>0.03</v>
      </c>
      <c r="AS30" s="98">
        <v>0.0</v>
      </c>
      <c r="AU30" s="91" t="s">
        <v>92</v>
      </c>
      <c r="AV30" s="92">
        <v>0.05</v>
      </c>
      <c r="AW30" s="98">
        <v>0.0</v>
      </c>
    </row>
    <row r="31">
      <c r="A31" s="171"/>
      <c r="B31" s="171"/>
      <c r="C31" s="91" t="s">
        <v>93</v>
      </c>
      <c r="D31" s="92">
        <v>0.08</v>
      </c>
      <c r="E31" s="98">
        <v>0.0</v>
      </c>
      <c r="G31" s="91" t="s">
        <v>93</v>
      </c>
      <c r="H31" s="92">
        <v>0.09</v>
      </c>
      <c r="I31" s="98">
        <v>0.0</v>
      </c>
      <c r="K31" s="91" t="s">
        <v>93</v>
      </c>
      <c r="L31" s="92">
        <v>0.07</v>
      </c>
      <c r="M31" s="98">
        <v>0.0</v>
      </c>
      <c r="O31" s="91" t="s">
        <v>93</v>
      </c>
      <c r="P31" s="92">
        <v>0.08</v>
      </c>
      <c r="Q31" s="98">
        <v>0.0</v>
      </c>
      <c r="S31" s="91" t="s">
        <v>93</v>
      </c>
      <c r="T31" s="92">
        <v>0.07</v>
      </c>
      <c r="U31" s="98">
        <v>0.0</v>
      </c>
      <c r="W31" s="91" t="s">
        <v>93</v>
      </c>
      <c r="X31" s="92">
        <v>0.07</v>
      </c>
      <c r="Y31" s="98">
        <v>0.0</v>
      </c>
      <c r="AA31" s="91" t="s">
        <v>93</v>
      </c>
      <c r="AB31" s="92">
        <v>0.08</v>
      </c>
      <c r="AC31" s="98">
        <v>0.0</v>
      </c>
      <c r="AE31" s="91" t="s">
        <v>93</v>
      </c>
      <c r="AF31" s="92">
        <v>0.07</v>
      </c>
      <c r="AG31" s="98">
        <v>0.0</v>
      </c>
      <c r="AI31" s="91" t="s">
        <v>93</v>
      </c>
      <c r="AJ31" s="92">
        <v>0.05</v>
      </c>
      <c r="AK31" s="98">
        <v>0.0</v>
      </c>
      <c r="AM31" s="91" t="s">
        <v>93</v>
      </c>
      <c r="AN31" s="92">
        <v>0.07</v>
      </c>
      <c r="AO31" s="98">
        <v>0.0</v>
      </c>
      <c r="AQ31" s="91" t="s">
        <v>93</v>
      </c>
      <c r="AR31" s="92">
        <v>0.07</v>
      </c>
      <c r="AS31" s="98">
        <v>0.0</v>
      </c>
      <c r="AU31" s="91" t="s">
        <v>93</v>
      </c>
      <c r="AV31" s="92">
        <v>0.08</v>
      </c>
      <c r="AW31" s="98">
        <v>0.0</v>
      </c>
    </row>
    <row r="32">
      <c r="A32" s="187"/>
      <c r="B32" s="187"/>
      <c r="C32" s="100" t="s">
        <v>94</v>
      </c>
      <c r="D32" s="101">
        <v>0.46</v>
      </c>
      <c r="E32" s="102">
        <v>2.17</v>
      </c>
      <c r="G32" s="100" t="s">
        <v>94</v>
      </c>
      <c r="H32" s="101">
        <v>0.38</v>
      </c>
      <c r="I32" s="102">
        <v>2.94</v>
      </c>
      <c r="K32" s="100" t="s">
        <v>94</v>
      </c>
      <c r="L32" s="101">
        <v>0.38</v>
      </c>
      <c r="M32" s="102">
        <v>3.08</v>
      </c>
      <c r="O32" s="100" t="s">
        <v>94</v>
      </c>
      <c r="P32" s="101">
        <v>0.42</v>
      </c>
      <c r="Q32" s="102">
        <v>2.63</v>
      </c>
      <c r="S32" s="100" t="s">
        <v>94</v>
      </c>
      <c r="T32" s="101">
        <v>0.4</v>
      </c>
      <c r="U32" s="102">
        <v>2.3</v>
      </c>
      <c r="W32" s="100" t="s">
        <v>94</v>
      </c>
      <c r="X32" s="101">
        <v>0.34</v>
      </c>
      <c r="Y32" s="102">
        <v>3.29</v>
      </c>
      <c r="AA32" s="100" t="s">
        <v>94</v>
      </c>
      <c r="AB32" s="101">
        <v>0.35</v>
      </c>
      <c r="AC32" s="102">
        <v>3.28</v>
      </c>
      <c r="AE32" s="100" t="s">
        <v>94</v>
      </c>
      <c r="AF32" s="101">
        <v>0.37</v>
      </c>
      <c r="AG32" s="102">
        <v>3.15</v>
      </c>
      <c r="AI32" s="100" t="s">
        <v>94</v>
      </c>
      <c r="AJ32" s="101">
        <v>0.41</v>
      </c>
      <c r="AK32" s="102">
        <v>2.3</v>
      </c>
      <c r="AM32" s="100" t="s">
        <v>94</v>
      </c>
      <c r="AN32" s="101">
        <v>0.35</v>
      </c>
      <c r="AO32" s="102">
        <v>3.14</v>
      </c>
      <c r="AQ32" s="100" t="s">
        <v>94</v>
      </c>
      <c r="AR32" s="101">
        <v>0.34</v>
      </c>
      <c r="AS32" s="102">
        <v>3.31</v>
      </c>
      <c r="AU32" s="100" t="s">
        <v>94</v>
      </c>
      <c r="AV32" s="101">
        <v>0.35</v>
      </c>
      <c r="AW32" s="102">
        <v>4.29</v>
      </c>
    </row>
    <row r="33">
      <c r="A33" s="187"/>
      <c r="B33" s="187"/>
      <c r="C33" s="100" t="s">
        <v>95</v>
      </c>
      <c r="D33" s="101">
        <v>0.11</v>
      </c>
      <c r="E33" s="102">
        <v>8.84</v>
      </c>
      <c r="G33" s="100" t="s">
        <v>95</v>
      </c>
      <c r="H33" s="101">
        <v>0.12</v>
      </c>
      <c r="I33" s="102">
        <v>11.46</v>
      </c>
      <c r="K33" s="100" t="s">
        <v>95</v>
      </c>
      <c r="L33" s="101">
        <v>0.11</v>
      </c>
      <c r="M33" s="102">
        <v>8.06</v>
      </c>
      <c r="O33" s="100" t="s">
        <v>95</v>
      </c>
      <c r="P33" s="101">
        <v>0.13</v>
      </c>
      <c r="Q33" s="102">
        <v>6.26</v>
      </c>
      <c r="S33" s="100" t="s">
        <v>95</v>
      </c>
      <c r="T33" s="101">
        <v>0.12</v>
      </c>
      <c r="U33" s="102">
        <v>5.25</v>
      </c>
      <c r="W33" s="100" t="s">
        <v>95</v>
      </c>
      <c r="X33" s="101">
        <v>0.1</v>
      </c>
      <c r="Y33" s="102">
        <v>11.36</v>
      </c>
      <c r="AA33" s="100" t="s">
        <v>95</v>
      </c>
      <c r="AB33" s="101">
        <v>0.13</v>
      </c>
      <c r="AC33" s="102">
        <v>7.16</v>
      </c>
      <c r="AE33" s="100" t="s">
        <v>95</v>
      </c>
      <c r="AF33" s="101">
        <v>0.12</v>
      </c>
      <c r="AG33" s="102">
        <v>7.18</v>
      </c>
      <c r="AI33" s="100" t="s">
        <v>95</v>
      </c>
      <c r="AJ33" s="101">
        <v>0.09</v>
      </c>
      <c r="AK33" s="102">
        <v>7.93</v>
      </c>
      <c r="AM33" s="100" t="s">
        <v>95</v>
      </c>
      <c r="AN33" s="101">
        <v>0.1</v>
      </c>
      <c r="AO33" s="102">
        <v>9.09</v>
      </c>
      <c r="AQ33" s="100" t="s">
        <v>95</v>
      </c>
      <c r="AR33" s="101">
        <v>0.1</v>
      </c>
      <c r="AS33" s="102">
        <v>10.19</v>
      </c>
      <c r="AU33" s="100" t="s">
        <v>95</v>
      </c>
      <c r="AV33" s="101">
        <v>0.13</v>
      </c>
      <c r="AW33" s="102">
        <v>8.08</v>
      </c>
    </row>
    <row r="34">
      <c r="A34" s="187"/>
      <c r="B34" s="187"/>
      <c r="C34" s="103" t="s">
        <v>96</v>
      </c>
      <c r="D34" s="104">
        <v>0.44</v>
      </c>
      <c r="E34" s="105">
        <v>2.27</v>
      </c>
      <c r="G34" s="103" t="s">
        <v>96</v>
      </c>
      <c r="H34" s="104">
        <v>0.34</v>
      </c>
      <c r="I34" s="105">
        <v>2.96</v>
      </c>
      <c r="K34" s="103" t="s">
        <v>96</v>
      </c>
      <c r="L34" s="104">
        <v>0.33</v>
      </c>
      <c r="M34" s="105">
        <v>3.08</v>
      </c>
      <c r="O34" s="103" t="s">
        <v>96</v>
      </c>
      <c r="P34" s="104">
        <v>0.39</v>
      </c>
      <c r="Q34" s="105">
        <v>2.55</v>
      </c>
      <c r="S34" s="103" t="s">
        <v>96</v>
      </c>
      <c r="T34" s="104">
        <v>0.45</v>
      </c>
      <c r="U34" s="105">
        <v>2.24</v>
      </c>
      <c r="W34" s="103" t="s">
        <v>96</v>
      </c>
      <c r="X34" s="104">
        <v>0.3</v>
      </c>
      <c r="Y34" s="105">
        <v>3.35</v>
      </c>
      <c r="AA34" s="103" t="s">
        <v>96</v>
      </c>
      <c r="AB34" s="104">
        <v>0.32</v>
      </c>
      <c r="AC34" s="105">
        <v>3.08</v>
      </c>
      <c r="AE34" s="103" t="s">
        <v>96</v>
      </c>
      <c r="AF34" s="104">
        <v>0.33</v>
      </c>
      <c r="AG34" s="105">
        <v>3.02</v>
      </c>
      <c r="AI34" s="103" t="s">
        <v>96</v>
      </c>
      <c r="AJ34" s="104">
        <v>0.41</v>
      </c>
      <c r="AK34" s="105">
        <v>2.42</v>
      </c>
      <c r="AM34" s="103" t="s">
        <v>96</v>
      </c>
      <c r="AN34" s="104">
        <v>0.32</v>
      </c>
      <c r="AO34" s="105">
        <v>3.14</v>
      </c>
      <c r="AQ34" s="103" t="s">
        <v>96</v>
      </c>
      <c r="AR34" s="104">
        <v>0.3</v>
      </c>
      <c r="AS34" s="105">
        <v>3.3</v>
      </c>
      <c r="AU34" s="103" t="s">
        <v>96</v>
      </c>
      <c r="AV34" s="104">
        <v>0.25</v>
      </c>
      <c r="AW34" s="105">
        <v>4.01</v>
      </c>
    </row>
    <row r="35">
      <c r="A35" s="171"/>
      <c r="B35" s="171"/>
      <c r="C35" s="91" t="s">
        <v>97</v>
      </c>
      <c r="D35" s="92">
        <v>0.06</v>
      </c>
      <c r="E35" s="93">
        <v>0.0</v>
      </c>
      <c r="G35" s="91" t="s">
        <v>97</v>
      </c>
      <c r="H35" s="92">
        <v>0.07</v>
      </c>
      <c r="I35" s="93">
        <v>0.0</v>
      </c>
      <c r="K35" s="91" t="s">
        <v>97</v>
      </c>
      <c r="L35" s="92">
        <v>0.07</v>
      </c>
      <c r="M35" s="93">
        <v>0.0</v>
      </c>
      <c r="O35" s="91" t="s">
        <v>97</v>
      </c>
      <c r="P35" s="92">
        <v>0.06</v>
      </c>
      <c r="Q35" s="185">
        <v>0.0</v>
      </c>
      <c r="S35" s="91" t="s">
        <v>97</v>
      </c>
      <c r="T35" s="92">
        <v>0.08</v>
      </c>
      <c r="U35" s="93">
        <v>0.0</v>
      </c>
      <c r="W35" s="91" t="s">
        <v>97</v>
      </c>
      <c r="X35" s="92">
        <v>0.08</v>
      </c>
      <c r="Y35" s="93">
        <v>0.0</v>
      </c>
      <c r="AA35" s="91" t="s">
        <v>97</v>
      </c>
      <c r="AB35" s="92">
        <v>0.07</v>
      </c>
      <c r="AC35" s="93">
        <v>0.0</v>
      </c>
      <c r="AE35" s="91" t="s">
        <v>97</v>
      </c>
      <c r="AF35" s="92">
        <v>0.07</v>
      </c>
      <c r="AG35" s="93">
        <v>0.0</v>
      </c>
      <c r="AI35" s="91" t="s">
        <v>97</v>
      </c>
      <c r="AJ35" s="92">
        <v>0.07</v>
      </c>
      <c r="AK35" s="93">
        <v>0.0</v>
      </c>
      <c r="AM35" s="91" t="s">
        <v>97</v>
      </c>
      <c r="AN35" s="92">
        <v>0.08</v>
      </c>
      <c r="AO35" s="93">
        <v>0.0</v>
      </c>
      <c r="AQ35" s="91" t="s">
        <v>97</v>
      </c>
      <c r="AR35" s="92">
        <v>0.07</v>
      </c>
      <c r="AS35" s="93">
        <v>0.0</v>
      </c>
      <c r="AU35" s="91" t="s">
        <v>97</v>
      </c>
      <c r="AV35" s="92">
        <v>0.07</v>
      </c>
      <c r="AW35" s="93">
        <v>0.0</v>
      </c>
    </row>
    <row r="36">
      <c r="A36" s="171"/>
      <c r="B36" s="171"/>
      <c r="C36" s="91" t="s">
        <v>98</v>
      </c>
      <c r="D36" s="92">
        <v>0.04</v>
      </c>
      <c r="E36" s="93">
        <v>0.0</v>
      </c>
      <c r="G36" s="91" t="s">
        <v>98</v>
      </c>
      <c r="H36" s="92">
        <v>0.06</v>
      </c>
      <c r="I36" s="93">
        <v>0.0</v>
      </c>
      <c r="K36" s="91" t="s">
        <v>98</v>
      </c>
      <c r="L36" s="92">
        <v>0.06</v>
      </c>
      <c r="M36" s="93">
        <v>0.0</v>
      </c>
      <c r="O36" s="91" t="s">
        <v>98</v>
      </c>
      <c r="P36" s="92">
        <v>0.06</v>
      </c>
      <c r="Q36" s="185">
        <v>0.0</v>
      </c>
      <c r="S36" s="91" t="s">
        <v>98</v>
      </c>
      <c r="T36" s="92">
        <v>0.07</v>
      </c>
      <c r="U36" s="93">
        <v>0.0</v>
      </c>
      <c r="W36" s="91" t="s">
        <v>98</v>
      </c>
      <c r="X36" s="92">
        <v>0.07</v>
      </c>
      <c r="Y36" s="93">
        <v>0.0</v>
      </c>
      <c r="AA36" s="91" t="s">
        <v>98</v>
      </c>
      <c r="AB36" s="92">
        <v>0.08</v>
      </c>
      <c r="AC36" s="93">
        <v>0.0</v>
      </c>
      <c r="AE36" s="91" t="s">
        <v>98</v>
      </c>
      <c r="AF36" s="92">
        <v>0.08</v>
      </c>
      <c r="AG36" s="93">
        <v>0.0</v>
      </c>
      <c r="AI36" s="91" t="s">
        <v>98</v>
      </c>
      <c r="AJ36" s="92">
        <v>0.06</v>
      </c>
      <c r="AK36" s="93">
        <v>0.0</v>
      </c>
      <c r="AM36" s="91" t="s">
        <v>98</v>
      </c>
      <c r="AN36" s="92">
        <v>0.09</v>
      </c>
      <c r="AO36" s="93">
        <v>0.0</v>
      </c>
      <c r="AQ36" s="91" t="s">
        <v>98</v>
      </c>
      <c r="AR36" s="92">
        <v>0.07</v>
      </c>
      <c r="AS36" s="93">
        <v>0.0</v>
      </c>
      <c r="AU36" s="91" t="s">
        <v>98</v>
      </c>
      <c r="AV36" s="92">
        <v>0.07</v>
      </c>
      <c r="AW36" s="93">
        <v>0.0</v>
      </c>
    </row>
    <row r="37">
      <c r="A37" s="171"/>
      <c r="B37" s="171"/>
      <c r="C37" s="91" t="s">
        <v>99</v>
      </c>
      <c r="D37" s="92">
        <v>0.02</v>
      </c>
      <c r="E37" s="96">
        <v>0.0</v>
      </c>
      <c r="G37" s="91" t="s">
        <v>99</v>
      </c>
      <c r="H37" s="92">
        <v>0.02</v>
      </c>
      <c r="I37" s="96">
        <v>0.0</v>
      </c>
      <c r="K37" s="91" t="s">
        <v>99</v>
      </c>
      <c r="L37" s="92">
        <v>0.02</v>
      </c>
      <c r="M37" s="96">
        <v>0.0</v>
      </c>
      <c r="O37" s="91" t="s">
        <v>99</v>
      </c>
      <c r="P37" s="92">
        <v>0.01</v>
      </c>
      <c r="Q37" s="186">
        <v>0.0</v>
      </c>
      <c r="S37" s="91" t="s">
        <v>99</v>
      </c>
      <c r="T37" s="92">
        <v>0.01</v>
      </c>
      <c r="U37" s="96">
        <v>0.0</v>
      </c>
      <c r="W37" s="91" t="s">
        <v>99</v>
      </c>
      <c r="X37" s="92">
        <v>0.02</v>
      </c>
      <c r="Y37" s="96">
        <v>0.0</v>
      </c>
      <c r="AA37" s="91" t="s">
        <v>99</v>
      </c>
      <c r="AB37" s="92">
        <v>0.02</v>
      </c>
      <c r="AC37" s="96">
        <v>0.0</v>
      </c>
      <c r="AE37" s="91" t="s">
        <v>99</v>
      </c>
      <c r="AF37" s="92">
        <v>0.02</v>
      </c>
      <c r="AG37" s="96">
        <v>0.0</v>
      </c>
      <c r="AI37" s="91" t="s">
        <v>99</v>
      </c>
      <c r="AJ37" s="92">
        <v>0.02</v>
      </c>
      <c r="AK37" s="96">
        <v>0.0</v>
      </c>
      <c r="AM37" s="91" t="s">
        <v>99</v>
      </c>
      <c r="AN37" s="92">
        <v>0.02</v>
      </c>
      <c r="AO37" s="96">
        <v>0.0</v>
      </c>
      <c r="AQ37" s="91" t="s">
        <v>99</v>
      </c>
      <c r="AR37" s="92">
        <v>0.05</v>
      </c>
      <c r="AS37" s="96">
        <v>0.0</v>
      </c>
      <c r="AU37" s="91" t="s">
        <v>99</v>
      </c>
      <c r="AV37" s="92">
        <v>0.02</v>
      </c>
      <c r="AW37" s="96">
        <v>0.0</v>
      </c>
    </row>
    <row r="38">
      <c r="A38" s="188"/>
      <c r="B38" s="188"/>
      <c r="C38" s="189"/>
      <c r="D38" s="189"/>
      <c r="E38" s="190"/>
      <c r="G38" s="189"/>
      <c r="H38" s="189"/>
      <c r="I38" s="190"/>
      <c r="K38" s="189"/>
      <c r="L38" s="189"/>
      <c r="M38" s="190"/>
      <c r="O38" s="191"/>
      <c r="P38" s="191"/>
      <c r="Q38" s="192"/>
      <c r="S38" s="189"/>
      <c r="T38" s="189"/>
      <c r="U38" s="190"/>
      <c r="W38" s="189"/>
      <c r="X38" s="189"/>
      <c r="Y38" s="190"/>
      <c r="AA38" s="189"/>
      <c r="AB38" s="189"/>
      <c r="AC38" s="190"/>
      <c r="AE38" s="189"/>
      <c r="AF38" s="189"/>
      <c r="AG38" s="190"/>
      <c r="AI38" s="189"/>
      <c r="AJ38" s="189"/>
      <c r="AK38" s="190"/>
      <c r="AM38" s="189"/>
      <c r="AN38" s="189"/>
      <c r="AO38" s="190"/>
      <c r="AQ38" s="189"/>
      <c r="AR38" s="189"/>
      <c r="AS38" s="190"/>
      <c r="AU38" s="189"/>
      <c r="AV38" s="189"/>
      <c r="AW38" s="190"/>
    </row>
    <row r="39">
      <c r="A39" s="187"/>
      <c r="B39" s="187"/>
      <c r="C39" s="110" t="s">
        <v>100</v>
      </c>
      <c r="D39" s="111">
        <v>0.2217</v>
      </c>
      <c r="E39" s="86"/>
      <c r="G39" s="110" t="s">
        <v>100</v>
      </c>
      <c r="H39" s="111">
        <v>0.3005</v>
      </c>
      <c r="I39" s="86"/>
      <c r="K39" s="110" t="s">
        <v>100</v>
      </c>
      <c r="L39" s="111">
        <v>0.3167</v>
      </c>
      <c r="M39" s="86"/>
      <c r="O39" s="110" t="s">
        <v>100</v>
      </c>
      <c r="P39" s="111">
        <v>0.2894</v>
      </c>
      <c r="Q39" s="192"/>
      <c r="S39" s="110" t="s">
        <v>100</v>
      </c>
      <c r="T39" s="111">
        <v>0.1484</v>
      </c>
      <c r="U39" s="86"/>
      <c r="W39" s="110" t="s">
        <v>100</v>
      </c>
      <c r="X39" s="111">
        <v>0.2997</v>
      </c>
      <c r="Y39" s="86"/>
      <c r="AA39" s="110" t="s">
        <v>100</v>
      </c>
      <c r="AB39" s="111">
        <v>0.3097</v>
      </c>
      <c r="AC39" s="86"/>
      <c r="AE39" s="110" t="s">
        <v>100</v>
      </c>
      <c r="AF39" s="111">
        <v>0.321</v>
      </c>
      <c r="AG39" s="86"/>
      <c r="AI39" s="110" t="s">
        <v>100</v>
      </c>
      <c r="AJ39" s="111">
        <v>0.1541</v>
      </c>
      <c r="AK39" s="86"/>
      <c r="AM39" s="110" t="s">
        <v>100</v>
      </c>
      <c r="AN39" s="111">
        <v>0.2912</v>
      </c>
      <c r="AO39" s="86"/>
      <c r="AQ39" s="110" t="s">
        <v>100</v>
      </c>
      <c r="AR39" s="111">
        <v>0.3003</v>
      </c>
      <c r="AS39" s="86"/>
      <c r="AU39" s="110" t="s">
        <v>100</v>
      </c>
      <c r="AV39" s="111">
        <v>0.4737</v>
      </c>
      <c r="AW39" s="86"/>
    </row>
    <row r="40">
      <c r="O40" s="184"/>
      <c r="P40" s="86"/>
      <c r="Q40" s="86"/>
      <c r="AE40" s="86"/>
      <c r="AF40" s="86"/>
      <c r="AG40" s="86"/>
      <c r="AI40" s="86"/>
      <c r="AJ40" s="86"/>
      <c r="AK40" s="86"/>
    </row>
    <row r="41">
      <c r="AE41" s="86"/>
      <c r="AF41" s="86"/>
      <c r="AG41" s="86"/>
      <c r="AI41" s="86"/>
      <c r="AJ41" s="86"/>
      <c r="AK41" s="86"/>
    </row>
    <row r="42">
      <c r="AE42" s="86"/>
      <c r="AF42" s="86"/>
      <c r="AG42" s="86"/>
      <c r="AI42" s="86"/>
      <c r="AJ42" s="86"/>
      <c r="AK42" s="86"/>
    </row>
    <row r="43">
      <c r="AE43" s="86"/>
      <c r="AF43" s="86"/>
      <c r="AG43" s="86"/>
      <c r="AI43" s="86"/>
      <c r="AJ43" s="86"/>
      <c r="AK43" s="86"/>
    </row>
    <row r="44">
      <c r="AE44" s="86"/>
      <c r="AF44" s="86"/>
      <c r="AG44" s="86"/>
      <c r="AI44" s="86"/>
      <c r="AJ44" s="86"/>
      <c r="AK44" s="86"/>
    </row>
    <row r="45">
      <c r="AE45" s="86"/>
      <c r="AF45" s="86"/>
      <c r="AG45" s="86"/>
      <c r="AI45" s="86"/>
      <c r="AJ45" s="86"/>
      <c r="AK45" s="86"/>
    </row>
    <row r="46">
      <c r="AE46" s="86"/>
      <c r="AF46" s="86"/>
      <c r="AG46" s="86"/>
      <c r="AI46" s="86"/>
      <c r="AJ46" s="86"/>
      <c r="AK46" s="86"/>
    </row>
    <row r="47">
      <c r="AE47" s="86"/>
      <c r="AF47" s="86"/>
      <c r="AG47" s="86"/>
      <c r="AI47" s="86"/>
      <c r="AJ47" s="86"/>
      <c r="AK47" s="86"/>
    </row>
    <row r="48">
      <c r="AE48" s="86"/>
      <c r="AF48" s="86"/>
      <c r="AG48" s="86"/>
      <c r="AI48" s="86"/>
      <c r="AJ48" s="86"/>
      <c r="AK48" s="86"/>
    </row>
    <row r="49">
      <c r="AE49" s="86"/>
      <c r="AF49" s="86"/>
      <c r="AG49" s="86"/>
      <c r="AI49" s="86"/>
      <c r="AJ49" s="86"/>
      <c r="AK49" s="86"/>
    </row>
    <row r="50">
      <c r="AE50" s="86"/>
      <c r="AF50" s="86"/>
      <c r="AG50" s="86"/>
      <c r="AI50" s="86"/>
      <c r="AJ50" s="86"/>
      <c r="AK50" s="86"/>
    </row>
    <row r="51">
      <c r="AE51" s="86"/>
      <c r="AF51" s="86"/>
      <c r="AG51" s="86"/>
      <c r="AI51" s="86"/>
      <c r="AJ51" s="86"/>
      <c r="AK51" s="86"/>
    </row>
    <row r="52">
      <c r="AE52" s="86"/>
      <c r="AF52" s="86"/>
      <c r="AG52" s="86"/>
      <c r="AI52" s="86"/>
      <c r="AJ52" s="86"/>
      <c r="AK52" s="86"/>
    </row>
    <row r="53">
      <c r="AE53" s="86"/>
      <c r="AF53" s="86"/>
      <c r="AG53" s="86"/>
      <c r="AI53" s="86"/>
      <c r="AJ53" s="86"/>
      <c r="AK53" s="86"/>
    </row>
    <row r="54">
      <c r="AE54" s="86"/>
      <c r="AF54" s="86"/>
      <c r="AG54" s="86"/>
      <c r="AI54" s="86"/>
      <c r="AJ54" s="86"/>
      <c r="AK54" s="86"/>
    </row>
    <row r="55">
      <c r="AE55" s="86"/>
      <c r="AF55" s="86"/>
      <c r="AG55" s="86"/>
      <c r="AI55" s="86"/>
      <c r="AJ55" s="86"/>
      <c r="AK55" s="86"/>
    </row>
    <row r="56">
      <c r="AE56" s="86"/>
      <c r="AF56" s="86"/>
      <c r="AG56" s="86"/>
      <c r="AI56" s="86"/>
      <c r="AJ56" s="86"/>
      <c r="AK56" s="86"/>
    </row>
    <row r="57">
      <c r="AE57" s="86"/>
      <c r="AF57" s="86"/>
      <c r="AG57" s="86"/>
      <c r="AI57" s="86"/>
      <c r="AJ57" s="86"/>
      <c r="AK57" s="86"/>
    </row>
    <row r="58">
      <c r="AE58" s="86"/>
      <c r="AF58" s="86"/>
      <c r="AG58" s="86"/>
      <c r="AI58" s="86"/>
      <c r="AJ58" s="86"/>
      <c r="AK58" s="86"/>
    </row>
    <row r="59">
      <c r="AE59" s="86"/>
      <c r="AF59" s="86"/>
      <c r="AG59" s="86"/>
      <c r="AI59" s="86"/>
      <c r="AJ59" s="86"/>
      <c r="AK59" s="86"/>
    </row>
    <row r="60">
      <c r="AE60" s="86"/>
      <c r="AF60" s="86"/>
      <c r="AG60" s="86"/>
      <c r="AI60" s="86"/>
      <c r="AJ60" s="86"/>
      <c r="AK60" s="86"/>
    </row>
    <row r="61">
      <c r="AE61" s="86"/>
      <c r="AF61" s="86"/>
      <c r="AG61" s="86"/>
      <c r="AI61" s="86"/>
      <c r="AJ61" s="86"/>
      <c r="AK61" s="86"/>
    </row>
    <row r="62">
      <c r="AE62" s="86"/>
      <c r="AF62" s="86"/>
      <c r="AG62" s="86"/>
      <c r="AI62" s="86"/>
      <c r="AJ62" s="86"/>
      <c r="AK62" s="86"/>
    </row>
    <row r="63">
      <c r="AE63" s="86"/>
      <c r="AF63" s="86"/>
      <c r="AG63" s="86"/>
      <c r="AI63" s="86"/>
      <c r="AJ63" s="86"/>
      <c r="AK63" s="86"/>
    </row>
    <row r="64">
      <c r="AE64" s="86"/>
      <c r="AF64" s="86"/>
      <c r="AG64" s="86"/>
      <c r="AI64" s="86"/>
      <c r="AJ64" s="86"/>
      <c r="AK64" s="86"/>
    </row>
    <row r="65">
      <c r="AE65" s="86"/>
      <c r="AF65" s="86"/>
      <c r="AG65" s="86"/>
      <c r="AI65" s="86"/>
      <c r="AJ65" s="86"/>
      <c r="AK65" s="86"/>
    </row>
    <row r="66">
      <c r="AE66" s="86"/>
      <c r="AF66" s="86"/>
      <c r="AG66" s="86"/>
      <c r="AI66" s="86"/>
      <c r="AJ66" s="86"/>
      <c r="AK66" s="86"/>
    </row>
    <row r="67">
      <c r="AE67" s="86"/>
      <c r="AF67" s="86"/>
      <c r="AG67" s="86"/>
      <c r="AI67" s="86"/>
      <c r="AJ67" s="86"/>
      <c r="AK67" s="86"/>
    </row>
    <row r="68">
      <c r="AE68" s="86"/>
      <c r="AF68" s="86"/>
      <c r="AG68" s="86"/>
      <c r="AI68" s="86"/>
      <c r="AJ68" s="86"/>
      <c r="AK68" s="86"/>
    </row>
    <row r="69">
      <c r="AE69" s="86"/>
      <c r="AF69" s="86"/>
      <c r="AG69" s="86"/>
      <c r="AI69" s="86"/>
      <c r="AJ69" s="86"/>
      <c r="AK69" s="86"/>
    </row>
    <row r="70">
      <c r="AE70" s="86"/>
      <c r="AF70" s="86"/>
      <c r="AG70" s="86"/>
      <c r="AI70" s="86"/>
      <c r="AJ70" s="86"/>
      <c r="AK70" s="86"/>
    </row>
    <row r="71">
      <c r="AE71" s="86"/>
      <c r="AF71" s="86"/>
      <c r="AG71" s="86"/>
      <c r="AI71" s="86"/>
      <c r="AJ71" s="86"/>
      <c r="AK71" s="86"/>
    </row>
    <row r="72">
      <c r="AE72" s="86"/>
      <c r="AF72" s="86"/>
      <c r="AG72" s="86"/>
      <c r="AI72" s="86"/>
      <c r="AJ72" s="86"/>
      <c r="AK72" s="86"/>
    </row>
    <row r="73">
      <c r="AE73" s="86"/>
      <c r="AF73" s="86"/>
      <c r="AG73" s="86"/>
      <c r="AI73" s="86"/>
      <c r="AJ73" s="86"/>
      <c r="AK73" s="86"/>
    </row>
    <row r="74">
      <c r="AE74" s="86"/>
      <c r="AF74" s="86"/>
      <c r="AG74" s="86"/>
      <c r="AI74" s="86"/>
      <c r="AJ74" s="86"/>
      <c r="AK74" s="86"/>
    </row>
    <row r="75">
      <c r="AE75" s="86"/>
      <c r="AF75" s="86"/>
      <c r="AG75" s="86"/>
      <c r="AI75" s="86"/>
      <c r="AJ75" s="86"/>
      <c r="AK75" s="86"/>
    </row>
    <row r="76">
      <c r="AE76" s="86"/>
      <c r="AF76" s="86"/>
      <c r="AG76" s="86"/>
      <c r="AI76" s="86"/>
      <c r="AJ76" s="86"/>
      <c r="AK76" s="86"/>
    </row>
    <row r="77">
      <c r="AE77" s="86"/>
      <c r="AF77" s="86"/>
      <c r="AG77" s="86"/>
      <c r="AI77" s="86"/>
      <c r="AJ77" s="86"/>
      <c r="AK77" s="86"/>
    </row>
    <row r="78">
      <c r="AE78" s="86"/>
      <c r="AF78" s="86"/>
      <c r="AG78" s="86"/>
      <c r="AI78" s="86"/>
      <c r="AJ78" s="86"/>
      <c r="AK78" s="86"/>
    </row>
    <row r="79">
      <c r="AE79" s="86"/>
      <c r="AF79" s="86"/>
      <c r="AG79" s="86"/>
      <c r="AI79" s="86"/>
      <c r="AJ79" s="86"/>
      <c r="AK79" s="86"/>
    </row>
    <row r="80">
      <c r="AE80" s="86"/>
      <c r="AF80" s="86"/>
      <c r="AG80" s="86"/>
      <c r="AI80" s="86"/>
      <c r="AJ80" s="86"/>
      <c r="AK80" s="86"/>
    </row>
    <row r="81">
      <c r="AE81" s="86"/>
      <c r="AF81" s="86"/>
      <c r="AG81" s="86"/>
      <c r="AI81" s="86"/>
      <c r="AJ81" s="86"/>
      <c r="AK81" s="86"/>
    </row>
    <row r="82">
      <c r="AE82" s="86"/>
      <c r="AF82" s="86"/>
      <c r="AG82" s="86"/>
      <c r="AI82" s="86"/>
      <c r="AJ82" s="86"/>
      <c r="AK82" s="86"/>
    </row>
    <row r="83">
      <c r="AE83" s="86"/>
      <c r="AF83" s="86"/>
      <c r="AG83" s="86"/>
      <c r="AI83" s="86"/>
      <c r="AJ83" s="86"/>
      <c r="AK83" s="86"/>
    </row>
    <row r="84">
      <c r="AE84" s="86"/>
      <c r="AF84" s="86"/>
      <c r="AG84" s="86"/>
      <c r="AI84" s="86"/>
      <c r="AJ84" s="86"/>
      <c r="AK84" s="86"/>
    </row>
    <row r="85">
      <c r="AE85" s="86"/>
      <c r="AF85" s="86"/>
      <c r="AG85" s="86"/>
      <c r="AI85" s="86"/>
      <c r="AJ85" s="86"/>
      <c r="AK85" s="86"/>
    </row>
    <row r="86">
      <c r="AE86" s="86"/>
      <c r="AF86" s="86"/>
      <c r="AG86" s="86"/>
      <c r="AI86" s="86"/>
      <c r="AJ86" s="86"/>
      <c r="AK86" s="86"/>
    </row>
    <row r="87">
      <c r="AE87" s="86"/>
      <c r="AF87" s="86"/>
      <c r="AG87" s="86"/>
      <c r="AI87" s="86"/>
      <c r="AJ87" s="86"/>
      <c r="AK87" s="86"/>
    </row>
    <row r="88">
      <c r="AE88" s="86"/>
      <c r="AF88" s="86"/>
      <c r="AG88" s="86"/>
      <c r="AI88" s="86"/>
      <c r="AJ88" s="86"/>
      <c r="AK88" s="86"/>
    </row>
    <row r="89">
      <c r="AE89" s="86"/>
      <c r="AF89" s="86"/>
      <c r="AG89" s="86"/>
      <c r="AI89" s="86"/>
      <c r="AJ89" s="86"/>
      <c r="AK89" s="86"/>
    </row>
    <row r="90">
      <c r="AE90" s="86"/>
      <c r="AF90" s="86"/>
      <c r="AG90" s="86"/>
      <c r="AI90" s="86"/>
      <c r="AJ90" s="86"/>
      <c r="AK90" s="86"/>
    </row>
    <row r="91">
      <c r="AE91" s="86"/>
      <c r="AF91" s="86"/>
      <c r="AG91" s="86"/>
      <c r="AI91" s="86"/>
      <c r="AJ91" s="86"/>
      <c r="AK91" s="86"/>
    </row>
    <row r="92">
      <c r="AE92" s="86"/>
      <c r="AF92" s="86"/>
      <c r="AG92" s="86"/>
      <c r="AI92" s="86"/>
      <c r="AJ92" s="86"/>
      <c r="AK92" s="86"/>
    </row>
    <row r="93">
      <c r="AE93" s="86"/>
      <c r="AF93" s="86"/>
      <c r="AG93" s="86"/>
      <c r="AI93" s="86"/>
      <c r="AJ93" s="86"/>
      <c r="AK93" s="86"/>
    </row>
    <row r="94">
      <c r="AE94" s="86"/>
      <c r="AF94" s="86"/>
      <c r="AG94" s="86"/>
      <c r="AI94" s="86"/>
      <c r="AJ94" s="86"/>
      <c r="AK94" s="86"/>
    </row>
    <row r="95">
      <c r="AE95" s="86"/>
      <c r="AF95" s="86"/>
      <c r="AG95" s="86"/>
      <c r="AI95" s="86"/>
      <c r="AJ95" s="86"/>
      <c r="AK95" s="86"/>
    </row>
    <row r="96">
      <c r="AE96" s="86"/>
      <c r="AF96" s="86"/>
      <c r="AG96" s="86"/>
      <c r="AI96" s="86"/>
      <c r="AJ96" s="86"/>
      <c r="AK96" s="86"/>
    </row>
    <row r="97">
      <c r="AE97" s="86"/>
      <c r="AF97" s="86"/>
      <c r="AG97" s="86"/>
      <c r="AI97" s="86"/>
      <c r="AJ97" s="86"/>
      <c r="AK97" s="86"/>
    </row>
    <row r="98">
      <c r="AE98" s="86"/>
      <c r="AF98" s="86"/>
      <c r="AG98" s="86"/>
      <c r="AI98" s="86"/>
      <c r="AJ98" s="86"/>
      <c r="AK98" s="86"/>
    </row>
    <row r="99">
      <c r="AE99" s="86"/>
      <c r="AF99" s="86"/>
      <c r="AG99" s="86"/>
      <c r="AI99" s="86"/>
      <c r="AJ99" s="86"/>
      <c r="AK99" s="86"/>
    </row>
    <row r="100">
      <c r="AE100" s="86"/>
      <c r="AF100" s="86"/>
      <c r="AG100" s="86"/>
      <c r="AI100" s="86"/>
      <c r="AJ100" s="86"/>
      <c r="AK100" s="86"/>
    </row>
    <row r="101">
      <c r="AE101" s="86"/>
      <c r="AF101" s="86"/>
      <c r="AG101" s="86"/>
      <c r="AI101" s="86"/>
      <c r="AJ101" s="86"/>
      <c r="AK101" s="86"/>
    </row>
    <row r="102">
      <c r="AE102" s="86"/>
      <c r="AF102" s="86"/>
      <c r="AG102" s="86"/>
      <c r="AI102" s="86"/>
      <c r="AJ102" s="86"/>
      <c r="AK102" s="86"/>
    </row>
    <row r="103">
      <c r="AE103" s="86"/>
      <c r="AF103" s="86"/>
      <c r="AG103" s="86"/>
      <c r="AI103" s="86"/>
      <c r="AJ103" s="86"/>
      <c r="AK103" s="86"/>
    </row>
    <row r="104">
      <c r="AE104" s="86"/>
      <c r="AF104" s="86"/>
      <c r="AG104" s="86"/>
      <c r="AI104" s="86"/>
      <c r="AJ104" s="86"/>
      <c r="AK104" s="86"/>
    </row>
    <row r="105">
      <c r="AE105" s="86"/>
      <c r="AF105" s="86"/>
      <c r="AG105" s="86"/>
      <c r="AI105" s="86"/>
      <c r="AJ105" s="86"/>
      <c r="AK105" s="86"/>
    </row>
    <row r="106">
      <c r="AE106" s="86"/>
      <c r="AF106" s="86"/>
      <c r="AG106" s="86"/>
      <c r="AI106" s="86"/>
      <c r="AJ106" s="86"/>
      <c r="AK106" s="86"/>
    </row>
    <row r="107">
      <c r="AE107" s="86"/>
      <c r="AF107" s="86"/>
      <c r="AG107" s="86"/>
      <c r="AI107" s="86"/>
      <c r="AJ107" s="86"/>
      <c r="AK107" s="86"/>
    </row>
    <row r="108">
      <c r="AE108" s="86"/>
      <c r="AF108" s="86"/>
      <c r="AG108" s="86"/>
      <c r="AI108" s="86"/>
      <c r="AJ108" s="86"/>
      <c r="AK108" s="86"/>
    </row>
    <row r="109">
      <c r="AE109" s="86"/>
      <c r="AF109" s="86"/>
      <c r="AG109" s="86"/>
      <c r="AI109" s="86"/>
      <c r="AJ109" s="86"/>
      <c r="AK109" s="86"/>
    </row>
    <row r="110">
      <c r="AE110" s="86"/>
      <c r="AF110" s="86"/>
      <c r="AG110" s="86"/>
      <c r="AI110" s="86"/>
      <c r="AJ110" s="86"/>
      <c r="AK110" s="86"/>
    </row>
    <row r="111">
      <c r="AE111" s="86"/>
      <c r="AF111" s="86"/>
      <c r="AG111" s="86"/>
      <c r="AI111" s="86"/>
      <c r="AJ111" s="86"/>
      <c r="AK111" s="86"/>
    </row>
    <row r="112">
      <c r="AE112" s="86"/>
      <c r="AF112" s="86"/>
      <c r="AG112" s="86"/>
      <c r="AI112" s="86"/>
      <c r="AJ112" s="86"/>
      <c r="AK112" s="86"/>
    </row>
    <row r="113">
      <c r="AE113" s="86"/>
      <c r="AF113" s="86"/>
      <c r="AG113" s="86"/>
      <c r="AI113" s="86"/>
      <c r="AJ113" s="86"/>
      <c r="AK113" s="86"/>
    </row>
    <row r="114">
      <c r="AE114" s="86"/>
      <c r="AF114" s="86"/>
      <c r="AG114" s="86"/>
      <c r="AI114" s="86"/>
      <c r="AJ114" s="86"/>
      <c r="AK114" s="86"/>
    </row>
    <row r="115">
      <c r="AE115" s="86"/>
      <c r="AF115" s="86"/>
      <c r="AG115" s="86"/>
      <c r="AI115" s="86"/>
      <c r="AJ115" s="86"/>
      <c r="AK115" s="86"/>
    </row>
    <row r="116">
      <c r="AE116" s="86"/>
      <c r="AF116" s="86"/>
      <c r="AG116" s="86"/>
      <c r="AI116" s="86"/>
      <c r="AJ116" s="86"/>
      <c r="AK116" s="86"/>
    </row>
    <row r="117">
      <c r="AE117" s="86"/>
      <c r="AF117" s="86"/>
      <c r="AG117" s="86"/>
      <c r="AI117" s="86"/>
      <c r="AJ117" s="86"/>
      <c r="AK117" s="86"/>
    </row>
    <row r="118">
      <c r="AE118" s="86"/>
      <c r="AF118" s="86"/>
      <c r="AG118" s="86"/>
      <c r="AI118" s="86"/>
      <c r="AJ118" s="86"/>
      <c r="AK118" s="86"/>
    </row>
    <row r="119">
      <c r="AE119" s="86"/>
      <c r="AF119" s="86"/>
      <c r="AG119" s="86"/>
      <c r="AI119" s="86"/>
      <c r="AJ119" s="86"/>
      <c r="AK119" s="86"/>
    </row>
    <row r="120">
      <c r="AE120" s="86"/>
      <c r="AF120" s="86"/>
      <c r="AG120" s="86"/>
      <c r="AI120" s="86"/>
      <c r="AJ120" s="86"/>
      <c r="AK120" s="86"/>
    </row>
    <row r="121">
      <c r="AE121" s="86"/>
      <c r="AF121" s="86"/>
      <c r="AG121" s="86"/>
      <c r="AI121" s="86"/>
      <c r="AJ121" s="86"/>
      <c r="AK121" s="86"/>
    </row>
    <row r="122">
      <c r="AE122" s="86"/>
      <c r="AF122" s="86"/>
      <c r="AG122" s="86"/>
      <c r="AI122" s="86"/>
      <c r="AJ122" s="86"/>
      <c r="AK122" s="86"/>
    </row>
    <row r="123">
      <c r="AE123" s="86"/>
      <c r="AF123" s="86"/>
      <c r="AG123" s="86"/>
      <c r="AI123" s="86"/>
      <c r="AJ123" s="86"/>
      <c r="AK123" s="86"/>
    </row>
    <row r="124">
      <c r="AE124" s="86"/>
      <c r="AF124" s="86"/>
      <c r="AG124" s="86"/>
      <c r="AI124" s="86"/>
      <c r="AJ124" s="86"/>
      <c r="AK124" s="86"/>
    </row>
    <row r="125">
      <c r="AE125" s="86"/>
      <c r="AF125" s="86"/>
      <c r="AG125" s="86"/>
      <c r="AI125" s="86"/>
      <c r="AJ125" s="86"/>
      <c r="AK125" s="86"/>
    </row>
    <row r="126">
      <c r="AE126" s="86"/>
      <c r="AF126" s="86"/>
      <c r="AG126" s="86"/>
      <c r="AI126" s="86"/>
      <c r="AJ126" s="86"/>
      <c r="AK126" s="86"/>
    </row>
    <row r="127">
      <c r="AE127" s="86"/>
      <c r="AF127" s="86"/>
      <c r="AG127" s="86"/>
      <c r="AI127" s="86"/>
      <c r="AJ127" s="86"/>
      <c r="AK127" s="86"/>
    </row>
    <row r="128">
      <c r="AE128" s="86"/>
      <c r="AF128" s="86"/>
      <c r="AG128" s="86"/>
      <c r="AI128" s="86"/>
      <c r="AJ128" s="86"/>
      <c r="AK128" s="86"/>
    </row>
    <row r="129">
      <c r="AE129" s="86"/>
      <c r="AF129" s="86"/>
      <c r="AG129" s="86"/>
      <c r="AI129" s="86"/>
      <c r="AJ129" s="86"/>
      <c r="AK129" s="86"/>
    </row>
    <row r="130">
      <c r="AE130" s="86"/>
      <c r="AF130" s="86"/>
      <c r="AG130" s="86"/>
      <c r="AI130" s="86"/>
      <c r="AJ130" s="86"/>
      <c r="AK130" s="86"/>
    </row>
    <row r="131">
      <c r="AE131" s="86"/>
      <c r="AF131" s="86"/>
      <c r="AG131" s="86"/>
      <c r="AI131" s="86"/>
      <c r="AJ131" s="86"/>
      <c r="AK131" s="86"/>
    </row>
    <row r="132">
      <c r="AE132" s="86"/>
      <c r="AF132" s="86"/>
      <c r="AG132" s="86"/>
      <c r="AI132" s="86"/>
      <c r="AJ132" s="86"/>
      <c r="AK132" s="86"/>
    </row>
    <row r="133">
      <c r="AE133" s="86"/>
      <c r="AF133" s="86"/>
      <c r="AG133" s="86"/>
      <c r="AI133" s="86"/>
      <c r="AJ133" s="86"/>
      <c r="AK133" s="86"/>
    </row>
    <row r="134">
      <c r="AE134" s="86"/>
      <c r="AF134" s="86"/>
      <c r="AG134" s="86"/>
      <c r="AI134" s="86"/>
      <c r="AJ134" s="86"/>
      <c r="AK134" s="86"/>
    </row>
    <row r="135">
      <c r="AE135" s="86"/>
      <c r="AF135" s="86"/>
      <c r="AG135" s="86"/>
      <c r="AI135" s="86"/>
      <c r="AJ135" s="86"/>
      <c r="AK135" s="86"/>
    </row>
    <row r="136">
      <c r="AE136" s="86"/>
      <c r="AF136" s="86"/>
      <c r="AG136" s="86"/>
      <c r="AI136" s="86"/>
      <c r="AJ136" s="86"/>
      <c r="AK136" s="86"/>
    </row>
    <row r="137">
      <c r="AE137" s="86"/>
      <c r="AF137" s="86"/>
      <c r="AG137" s="86"/>
      <c r="AI137" s="86"/>
      <c r="AJ137" s="86"/>
      <c r="AK137" s="86"/>
    </row>
    <row r="138">
      <c r="AE138" s="86"/>
      <c r="AF138" s="86"/>
      <c r="AG138" s="86"/>
      <c r="AI138" s="86"/>
      <c r="AJ138" s="86"/>
      <c r="AK138" s="86"/>
    </row>
    <row r="139">
      <c r="AE139" s="86"/>
      <c r="AF139" s="86"/>
      <c r="AG139" s="86"/>
      <c r="AI139" s="86"/>
      <c r="AJ139" s="86"/>
      <c r="AK139" s="86"/>
    </row>
    <row r="140">
      <c r="AE140" s="86"/>
      <c r="AF140" s="86"/>
      <c r="AG140" s="86"/>
      <c r="AI140" s="86"/>
      <c r="AJ140" s="86"/>
      <c r="AK140" s="86"/>
    </row>
    <row r="141">
      <c r="AE141" s="86"/>
      <c r="AF141" s="86"/>
      <c r="AG141" s="86"/>
      <c r="AI141" s="86"/>
      <c r="AJ141" s="86"/>
      <c r="AK141" s="86"/>
    </row>
    <row r="142">
      <c r="AE142" s="86"/>
      <c r="AF142" s="86"/>
      <c r="AG142" s="86"/>
      <c r="AI142" s="86"/>
      <c r="AJ142" s="86"/>
      <c r="AK142" s="86"/>
    </row>
    <row r="143">
      <c r="AE143" s="86"/>
      <c r="AF143" s="86"/>
      <c r="AG143" s="86"/>
      <c r="AI143" s="86"/>
      <c r="AJ143" s="86"/>
      <c r="AK143" s="86"/>
    </row>
    <row r="144">
      <c r="AE144" s="86"/>
      <c r="AF144" s="86"/>
      <c r="AG144" s="86"/>
      <c r="AI144" s="86"/>
      <c r="AJ144" s="86"/>
      <c r="AK144" s="86"/>
    </row>
    <row r="145">
      <c r="AE145" s="86"/>
      <c r="AF145" s="86"/>
      <c r="AG145" s="86"/>
      <c r="AI145" s="86"/>
      <c r="AJ145" s="86"/>
      <c r="AK145" s="86"/>
    </row>
    <row r="146">
      <c r="AE146" s="86"/>
      <c r="AF146" s="86"/>
      <c r="AG146" s="86"/>
      <c r="AI146" s="86"/>
      <c r="AJ146" s="86"/>
      <c r="AK146" s="86"/>
    </row>
    <row r="147">
      <c r="AE147" s="86"/>
      <c r="AF147" s="86"/>
      <c r="AG147" s="86"/>
      <c r="AI147" s="86"/>
      <c r="AJ147" s="86"/>
      <c r="AK147" s="86"/>
    </row>
    <row r="148">
      <c r="AE148" s="86"/>
      <c r="AF148" s="86"/>
      <c r="AG148" s="86"/>
      <c r="AI148" s="86"/>
      <c r="AJ148" s="86"/>
      <c r="AK148" s="86"/>
    </row>
    <row r="149">
      <c r="AE149" s="86"/>
      <c r="AF149" s="86"/>
      <c r="AG149" s="86"/>
      <c r="AI149" s="86"/>
      <c r="AJ149" s="86"/>
      <c r="AK149" s="86"/>
    </row>
    <row r="150">
      <c r="AE150" s="86"/>
      <c r="AF150" s="86"/>
      <c r="AG150" s="86"/>
      <c r="AI150" s="86"/>
      <c r="AJ150" s="86"/>
      <c r="AK150" s="86"/>
    </row>
    <row r="151">
      <c r="AE151" s="86"/>
      <c r="AF151" s="86"/>
      <c r="AG151" s="86"/>
      <c r="AI151" s="86"/>
      <c r="AJ151" s="86"/>
      <c r="AK151" s="86"/>
    </row>
    <row r="152">
      <c r="AE152" s="86"/>
      <c r="AF152" s="86"/>
      <c r="AG152" s="86"/>
      <c r="AI152" s="86"/>
      <c r="AJ152" s="86"/>
      <c r="AK152" s="86"/>
    </row>
    <row r="153">
      <c r="AE153" s="86"/>
      <c r="AF153" s="86"/>
      <c r="AG153" s="86"/>
      <c r="AI153" s="86"/>
      <c r="AJ153" s="86"/>
      <c r="AK153" s="86"/>
    </row>
    <row r="154">
      <c r="AE154" s="86"/>
      <c r="AF154" s="86"/>
      <c r="AG154" s="86"/>
      <c r="AI154" s="86"/>
      <c r="AJ154" s="86"/>
      <c r="AK154" s="86"/>
    </row>
    <row r="155">
      <c r="AE155" s="86"/>
      <c r="AF155" s="86"/>
      <c r="AG155" s="86"/>
      <c r="AI155" s="86"/>
      <c r="AJ155" s="86"/>
      <c r="AK155" s="86"/>
    </row>
    <row r="156">
      <c r="AE156" s="86"/>
      <c r="AF156" s="86"/>
      <c r="AG156" s="86"/>
      <c r="AI156" s="86"/>
      <c r="AJ156" s="86"/>
      <c r="AK156" s="86"/>
    </row>
    <row r="157">
      <c r="AE157" s="86"/>
      <c r="AF157" s="86"/>
      <c r="AG157" s="86"/>
      <c r="AI157" s="86"/>
      <c r="AJ157" s="86"/>
      <c r="AK157" s="86"/>
    </row>
    <row r="158">
      <c r="AE158" s="86"/>
      <c r="AF158" s="86"/>
      <c r="AG158" s="86"/>
      <c r="AI158" s="86"/>
      <c r="AJ158" s="86"/>
      <c r="AK158" s="86"/>
    </row>
    <row r="159">
      <c r="AE159" s="86"/>
      <c r="AF159" s="86"/>
      <c r="AG159" s="86"/>
      <c r="AI159" s="86"/>
      <c r="AJ159" s="86"/>
      <c r="AK159" s="86"/>
    </row>
    <row r="160">
      <c r="AE160" s="86"/>
      <c r="AF160" s="86"/>
      <c r="AG160" s="86"/>
      <c r="AI160" s="86"/>
      <c r="AJ160" s="86"/>
      <c r="AK160" s="86"/>
    </row>
    <row r="161">
      <c r="AE161" s="86"/>
      <c r="AF161" s="86"/>
      <c r="AG161" s="86"/>
      <c r="AI161" s="86"/>
      <c r="AJ161" s="86"/>
      <c r="AK161" s="86"/>
    </row>
    <row r="162">
      <c r="AE162" s="86"/>
      <c r="AF162" s="86"/>
      <c r="AG162" s="86"/>
      <c r="AI162" s="86"/>
      <c r="AJ162" s="86"/>
      <c r="AK162" s="86"/>
    </row>
    <row r="163">
      <c r="AE163" s="86"/>
      <c r="AF163" s="86"/>
      <c r="AG163" s="86"/>
      <c r="AI163" s="86"/>
      <c r="AJ163" s="86"/>
      <c r="AK163" s="86"/>
    </row>
    <row r="164">
      <c r="AE164" s="86"/>
      <c r="AF164" s="86"/>
      <c r="AG164" s="86"/>
      <c r="AI164" s="86"/>
      <c r="AJ164" s="86"/>
      <c r="AK164" s="86"/>
    </row>
    <row r="165">
      <c r="AE165" s="86"/>
      <c r="AF165" s="86"/>
      <c r="AG165" s="86"/>
      <c r="AI165" s="86"/>
      <c r="AJ165" s="86"/>
      <c r="AK165" s="86"/>
    </row>
    <row r="166">
      <c r="AE166" s="86"/>
      <c r="AF166" s="86"/>
      <c r="AG166" s="86"/>
      <c r="AI166" s="86"/>
      <c r="AJ166" s="86"/>
      <c r="AK166" s="86"/>
    </row>
    <row r="167">
      <c r="AE167" s="86"/>
      <c r="AF167" s="86"/>
      <c r="AG167" s="86"/>
      <c r="AI167" s="86"/>
      <c r="AJ167" s="86"/>
      <c r="AK167" s="86"/>
    </row>
    <row r="168">
      <c r="AE168" s="86"/>
      <c r="AF168" s="86"/>
      <c r="AG168" s="86"/>
      <c r="AI168" s="86"/>
      <c r="AJ168" s="86"/>
      <c r="AK168" s="86"/>
    </row>
    <row r="169">
      <c r="AE169" s="86"/>
      <c r="AF169" s="86"/>
      <c r="AG169" s="86"/>
      <c r="AI169" s="86"/>
      <c r="AJ169" s="86"/>
      <c r="AK169" s="86"/>
    </row>
    <row r="170">
      <c r="AE170" s="86"/>
      <c r="AF170" s="86"/>
      <c r="AG170" s="86"/>
      <c r="AI170" s="86"/>
      <c r="AJ170" s="86"/>
      <c r="AK170" s="86"/>
    </row>
    <row r="171">
      <c r="AE171" s="86"/>
      <c r="AF171" s="86"/>
      <c r="AG171" s="86"/>
      <c r="AI171" s="86"/>
      <c r="AJ171" s="86"/>
      <c r="AK171" s="86"/>
    </row>
    <row r="172">
      <c r="AE172" s="86"/>
      <c r="AF172" s="86"/>
      <c r="AG172" s="86"/>
      <c r="AI172" s="86"/>
      <c r="AJ172" s="86"/>
      <c r="AK172" s="86"/>
    </row>
    <row r="173">
      <c r="AE173" s="86"/>
      <c r="AF173" s="86"/>
      <c r="AG173" s="86"/>
      <c r="AI173" s="86"/>
      <c r="AJ173" s="86"/>
      <c r="AK173" s="86"/>
    </row>
    <row r="174">
      <c r="AE174" s="86"/>
      <c r="AF174" s="86"/>
      <c r="AG174" s="86"/>
      <c r="AI174" s="86"/>
      <c r="AJ174" s="86"/>
      <c r="AK174" s="86"/>
    </row>
    <row r="175">
      <c r="AE175" s="86"/>
      <c r="AF175" s="86"/>
      <c r="AG175" s="86"/>
      <c r="AI175" s="86"/>
      <c r="AJ175" s="86"/>
      <c r="AK175" s="86"/>
    </row>
    <row r="176">
      <c r="AE176" s="86"/>
      <c r="AF176" s="86"/>
      <c r="AG176" s="86"/>
      <c r="AI176" s="86"/>
      <c r="AJ176" s="86"/>
      <c r="AK176" s="86"/>
    </row>
    <row r="177">
      <c r="AE177" s="86"/>
      <c r="AF177" s="86"/>
      <c r="AG177" s="86"/>
      <c r="AI177" s="86"/>
      <c r="AJ177" s="86"/>
      <c r="AK177" s="86"/>
    </row>
    <row r="178">
      <c r="AE178" s="86"/>
      <c r="AF178" s="86"/>
      <c r="AG178" s="86"/>
      <c r="AI178" s="86"/>
      <c r="AJ178" s="86"/>
      <c r="AK178" s="86"/>
    </row>
    <row r="179">
      <c r="AE179" s="86"/>
      <c r="AF179" s="86"/>
      <c r="AG179" s="86"/>
      <c r="AI179" s="86"/>
      <c r="AJ179" s="86"/>
      <c r="AK179" s="86"/>
    </row>
    <row r="180">
      <c r="AE180" s="86"/>
      <c r="AF180" s="86"/>
      <c r="AG180" s="86"/>
      <c r="AI180" s="86"/>
      <c r="AJ180" s="86"/>
      <c r="AK180" s="86"/>
    </row>
    <row r="181">
      <c r="AE181" s="86"/>
      <c r="AF181" s="86"/>
      <c r="AG181" s="86"/>
      <c r="AI181" s="86"/>
      <c r="AJ181" s="86"/>
      <c r="AK181" s="86"/>
    </row>
    <row r="182">
      <c r="AE182" s="86"/>
      <c r="AF182" s="86"/>
      <c r="AG182" s="86"/>
      <c r="AI182" s="86"/>
      <c r="AJ182" s="86"/>
      <c r="AK182" s="86"/>
    </row>
    <row r="183">
      <c r="AE183" s="86"/>
      <c r="AF183" s="86"/>
      <c r="AG183" s="86"/>
      <c r="AI183" s="86"/>
      <c r="AJ183" s="86"/>
      <c r="AK183" s="86"/>
    </row>
    <row r="184">
      <c r="AE184" s="86"/>
      <c r="AF184" s="86"/>
      <c r="AG184" s="86"/>
      <c r="AI184" s="86"/>
      <c r="AJ184" s="86"/>
      <c r="AK184" s="86"/>
    </row>
    <row r="185">
      <c r="AE185" s="86"/>
      <c r="AF185" s="86"/>
      <c r="AG185" s="86"/>
      <c r="AI185" s="86"/>
      <c r="AJ185" s="86"/>
      <c r="AK185" s="86"/>
    </row>
    <row r="186">
      <c r="AE186" s="86"/>
      <c r="AF186" s="86"/>
      <c r="AG186" s="86"/>
      <c r="AI186" s="86"/>
      <c r="AJ186" s="86"/>
      <c r="AK186" s="86"/>
    </row>
    <row r="187">
      <c r="AE187" s="86"/>
      <c r="AF187" s="86"/>
      <c r="AG187" s="86"/>
      <c r="AI187" s="86"/>
      <c r="AJ187" s="86"/>
      <c r="AK187" s="86"/>
    </row>
    <row r="188">
      <c r="AE188" s="86"/>
      <c r="AF188" s="86"/>
      <c r="AG188" s="86"/>
      <c r="AI188" s="86"/>
      <c r="AJ188" s="86"/>
      <c r="AK188" s="86"/>
    </row>
    <row r="189">
      <c r="AE189" s="86"/>
      <c r="AF189" s="86"/>
      <c r="AG189" s="86"/>
      <c r="AI189" s="86"/>
      <c r="AJ189" s="86"/>
      <c r="AK189" s="86"/>
    </row>
    <row r="190">
      <c r="AE190" s="86"/>
      <c r="AF190" s="86"/>
      <c r="AG190" s="86"/>
      <c r="AI190" s="86"/>
      <c r="AJ190" s="86"/>
      <c r="AK190" s="86"/>
    </row>
    <row r="191">
      <c r="AE191" s="86"/>
      <c r="AF191" s="86"/>
      <c r="AG191" s="86"/>
      <c r="AI191" s="86"/>
      <c r="AJ191" s="86"/>
      <c r="AK191" s="86"/>
    </row>
    <row r="192">
      <c r="AE192" s="86"/>
      <c r="AF192" s="86"/>
      <c r="AG192" s="86"/>
      <c r="AI192" s="86"/>
      <c r="AJ192" s="86"/>
      <c r="AK192" s="86"/>
    </row>
    <row r="193">
      <c r="AE193" s="86"/>
      <c r="AF193" s="86"/>
      <c r="AG193" s="86"/>
      <c r="AI193" s="86"/>
      <c r="AJ193" s="86"/>
      <c r="AK193" s="86"/>
    </row>
    <row r="194">
      <c r="AE194" s="86"/>
      <c r="AF194" s="86"/>
      <c r="AG194" s="86"/>
      <c r="AI194" s="86"/>
      <c r="AJ194" s="86"/>
      <c r="AK194" s="86"/>
    </row>
    <row r="195">
      <c r="AE195" s="86"/>
      <c r="AF195" s="86"/>
      <c r="AG195" s="86"/>
      <c r="AI195" s="86"/>
      <c r="AJ195" s="86"/>
      <c r="AK195" s="86"/>
    </row>
    <row r="196">
      <c r="AE196" s="86"/>
      <c r="AF196" s="86"/>
      <c r="AG196" s="86"/>
      <c r="AI196" s="86"/>
      <c r="AJ196" s="86"/>
      <c r="AK196" s="86"/>
    </row>
    <row r="197">
      <c r="AE197" s="86"/>
      <c r="AF197" s="86"/>
      <c r="AG197" s="86"/>
      <c r="AI197" s="86"/>
      <c r="AJ197" s="86"/>
      <c r="AK197" s="86"/>
    </row>
    <row r="198">
      <c r="AE198" s="86"/>
      <c r="AF198" s="86"/>
      <c r="AG198" s="86"/>
      <c r="AI198" s="86"/>
      <c r="AJ198" s="86"/>
      <c r="AK198" s="86"/>
    </row>
    <row r="199">
      <c r="AE199" s="86"/>
      <c r="AF199" s="86"/>
      <c r="AG199" s="86"/>
      <c r="AI199" s="86"/>
      <c r="AJ199" s="86"/>
      <c r="AK199" s="86"/>
    </row>
    <row r="200">
      <c r="AE200" s="86"/>
      <c r="AF200" s="86"/>
      <c r="AG200" s="86"/>
      <c r="AI200" s="86"/>
      <c r="AJ200" s="86"/>
      <c r="AK200" s="86"/>
    </row>
    <row r="201">
      <c r="AE201" s="86"/>
      <c r="AF201" s="86"/>
      <c r="AG201" s="86"/>
      <c r="AI201" s="86"/>
      <c r="AJ201" s="86"/>
      <c r="AK201" s="86"/>
    </row>
    <row r="202">
      <c r="AE202" s="86"/>
      <c r="AF202" s="86"/>
      <c r="AG202" s="86"/>
      <c r="AI202" s="86"/>
      <c r="AJ202" s="86"/>
      <c r="AK202" s="86"/>
    </row>
    <row r="203">
      <c r="AE203" s="86"/>
      <c r="AF203" s="86"/>
      <c r="AG203" s="86"/>
      <c r="AI203" s="86"/>
      <c r="AJ203" s="86"/>
      <c r="AK203" s="86"/>
    </row>
    <row r="204">
      <c r="AE204" s="86"/>
      <c r="AF204" s="86"/>
      <c r="AG204" s="86"/>
      <c r="AI204" s="86"/>
      <c r="AJ204" s="86"/>
      <c r="AK204" s="86"/>
    </row>
    <row r="205">
      <c r="AE205" s="86"/>
      <c r="AF205" s="86"/>
      <c r="AG205" s="86"/>
      <c r="AI205" s="86"/>
      <c r="AJ205" s="86"/>
      <c r="AK205" s="86"/>
    </row>
    <row r="206">
      <c r="AE206" s="86"/>
      <c r="AF206" s="86"/>
      <c r="AG206" s="86"/>
      <c r="AI206" s="86"/>
      <c r="AJ206" s="86"/>
      <c r="AK206" s="86"/>
    </row>
    <row r="207">
      <c r="AE207" s="86"/>
      <c r="AF207" s="86"/>
      <c r="AG207" s="86"/>
      <c r="AI207" s="86"/>
      <c r="AJ207" s="86"/>
      <c r="AK207" s="86"/>
    </row>
    <row r="208">
      <c r="AE208" s="86"/>
      <c r="AF208" s="86"/>
      <c r="AG208" s="86"/>
      <c r="AI208" s="86"/>
      <c r="AJ208" s="86"/>
      <c r="AK208" s="86"/>
    </row>
    <row r="209">
      <c r="AE209" s="86"/>
      <c r="AF209" s="86"/>
      <c r="AG209" s="86"/>
      <c r="AI209" s="86"/>
      <c r="AJ209" s="86"/>
      <c r="AK209" s="86"/>
    </row>
    <row r="210">
      <c r="AE210" s="86"/>
      <c r="AF210" s="86"/>
      <c r="AG210" s="86"/>
      <c r="AI210" s="86"/>
      <c r="AJ210" s="86"/>
      <c r="AK210" s="86"/>
    </row>
    <row r="211">
      <c r="AE211" s="86"/>
      <c r="AF211" s="86"/>
      <c r="AG211" s="86"/>
      <c r="AI211" s="86"/>
      <c r="AJ211" s="86"/>
      <c r="AK211" s="86"/>
    </row>
    <row r="212">
      <c r="AE212" s="86"/>
      <c r="AF212" s="86"/>
      <c r="AG212" s="86"/>
      <c r="AI212" s="86"/>
      <c r="AJ212" s="86"/>
      <c r="AK212" s="86"/>
    </row>
    <row r="213">
      <c r="AE213" s="86"/>
      <c r="AF213" s="86"/>
      <c r="AG213" s="86"/>
      <c r="AI213" s="86"/>
      <c r="AJ213" s="86"/>
      <c r="AK213" s="86"/>
    </row>
    <row r="214">
      <c r="AE214" s="86"/>
      <c r="AF214" s="86"/>
      <c r="AG214" s="86"/>
      <c r="AI214" s="86"/>
      <c r="AJ214" s="86"/>
      <c r="AK214" s="86"/>
    </row>
    <row r="215">
      <c r="AE215" s="86"/>
      <c r="AF215" s="86"/>
      <c r="AG215" s="86"/>
      <c r="AI215" s="86"/>
      <c r="AJ215" s="86"/>
      <c r="AK215" s="86"/>
    </row>
    <row r="216">
      <c r="AE216" s="86"/>
      <c r="AF216" s="86"/>
      <c r="AG216" s="86"/>
      <c r="AI216" s="86"/>
      <c r="AJ216" s="86"/>
      <c r="AK216" s="86"/>
    </row>
    <row r="217">
      <c r="AE217" s="86"/>
      <c r="AF217" s="86"/>
      <c r="AG217" s="86"/>
      <c r="AI217" s="86"/>
      <c r="AJ217" s="86"/>
      <c r="AK217" s="86"/>
    </row>
    <row r="218">
      <c r="AE218" s="86"/>
      <c r="AF218" s="86"/>
      <c r="AG218" s="86"/>
      <c r="AI218" s="86"/>
      <c r="AJ218" s="86"/>
      <c r="AK218" s="86"/>
    </row>
    <row r="219">
      <c r="AE219" s="86"/>
      <c r="AF219" s="86"/>
      <c r="AG219" s="86"/>
      <c r="AI219" s="86"/>
      <c r="AJ219" s="86"/>
      <c r="AK219" s="86"/>
    </row>
    <row r="220">
      <c r="AE220" s="86"/>
      <c r="AF220" s="86"/>
      <c r="AG220" s="86"/>
      <c r="AI220" s="86"/>
      <c r="AJ220" s="86"/>
      <c r="AK220" s="86"/>
    </row>
    <row r="221">
      <c r="AE221" s="86"/>
      <c r="AF221" s="86"/>
      <c r="AG221" s="86"/>
      <c r="AI221" s="86"/>
      <c r="AJ221" s="86"/>
      <c r="AK221" s="86"/>
    </row>
    <row r="222">
      <c r="AE222" s="86"/>
      <c r="AF222" s="86"/>
      <c r="AG222" s="86"/>
      <c r="AI222" s="86"/>
      <c r="AJ222" s="86"/>
      <c r="AK222" s="86"/>
    </row>
    <row r="223">
      <c r="AE223" s="86"/>
      <c r="AF223" s="86"/>
      <c r="AG223" s="86"/>
      <c r="AI223" s="86"/>
      <c r="AJ223" s="86"/>
      <c r="AK223" s="86"/>
    </row>
    <row r="224">
      <c r="AE224" s="86"/>
      <c r="AF224" s="86"/>
      <c r="AG224" s="86"/>
      <c r="AI224" s="86"/>
      <c r="AJ224" s="86"/>
      <c r="AK224" s="86"/>
    </row>
    <row r="225">
      <c r="AE225" s="86"/>
      <c r="AF225" s="86"/>
      <c r="AG225" s="86"/>
      <c r="AI225" s="86"/>
      <c r="AJ225" s="86"/>
      <c r="AK225" s="86"/>
    </row>
    <row r="226">
      <c r="AE226" s="86"/>
      <c r="AF226" s="86"/>
      <c r="AG226" s="86"/>
      <c r="AI226" s="86"/>
      <c r="AJ226" s="86"/>
      <c r="AK226" s="86"/>
    </row>
    <row r="227">
      <c r="AE227" s="86"/>
      <c r="AF227" s="86"/>
      <c r="AG227" s="86"/>
      <c r="AI227" s="86"/>
      <c r="AJ227" s="86"/>
      <c r="AK227" s="86"/>
    </row>
    <row r="228">
      <c r="AE228" s="86"/>
      <c r="AF228" s="86"/>
      <c r="AG228" s="86"/>
      <c r="AI228" s="86"/>
      <c r="AJ228" s="86"/>
      <c r="AK228" s="86"/>
    </row>
    <row r="229">
      <c r="AE229" s="86"/>
      <c r="AF229" s="86"/>
      <c r="AG229" s="86"/>
      <c r="AI229" s="86"/>
      <c r="AJ229" s="86"/>
      <c r="AK229" s="86"/>
    </row>
    <row r="230">
      <c r="AE230" s="86"/>
      <c r="AF230" s="86"/>
      <c r="AG230" s="86"/>
      <c r="AI230" s="86"/>
      <c r="AJ230" s="86"/>
      <c r="AK230" s="86"/>
    </row>
    <row r="231">
      <c r="AE231" s="86"/>
      <c r="AF231" s="86"/>
      <c r="AG231" s="86"/>
      <c r="AI231" s="86"/>
      <c r="AJ231" s="86"/>
      <c r="AK231" s="86"/>
    </row>
    <row r="232">
      <c r="AE232" s="86"/>
      <c r="AF232" s="86"/>
      <c r="AG232" s="86"/>
      <c r="AI232" s="86"/>
      <c r="AJ232" s="86"/>
      <c r="AK232" s="86"/>
    </row>
    <row r="233">
      <c r="AE233" s="86"/>
      <c r="AF233" s="86"/>
      <c r="AG233" s="86"/>
      <c r="AI233" s="86"/>
      <c r="AJ233" s="86"/>
      <c r="AK233" s="86"/>
    </row>
    <row r="234">
      <c r="AE234" s="86"/>
      <c r="AF234" s="86"/>
      <c r="AG234" s="86"/>
      <c r="AI234" s="86"/>
      <c r="AJ234" s="86"/>
      <c r="AK234" s="86"/>
    </row>
    <row r="235">
      <c r="AE235" s="86"/>
      <c r="AF235" s="86"/>
      <c r="AG235" s="86"/>
      <c r="AI235" s="86"/>
      <c r="AJ235" s="86"/>
      <c r="AK235" s="86"/>
    </row>
    <row r="236">
      <c r="AE236" s="86"/>
      <c r="AF236" s="86"/>
      <c r="AG236" s="86"/>
      <c r="AI236" s="86"/>
      <c r="AJ236" s="86"/>
      <c r="AK236" s="86"/>
    </row>
    <row r="237">
      <c r="AE237" s="86"/>
      <c r="AF237" s="86"/>
      <c r="AG237" s="86"/>
      <c r="AI237" s="86"/>
      <c r="AJ237" s="86"/>
      <c r="AK237" s="86"/>
    </row>
    <row r="238">
      <c r="AE238" s="86"/>
      <c r="AF238" s="86"/>
      <c r="AG238" s="86"/>
      <c r="AI238" s="86"/>
      <c r="AJ238" s="86"/>
      <c r="AK238" s="86"/>
    </row>
    <row r="239">
      <c r="AE239" s="86"/>
      <c r="AF239" s="86"/>
      <c r="AG239" s="86"/>
      <c r="AI239" s="86"/>
      <c r="AJ239" s="86"/>
      <c r="AK239" s="86"/>
    </row>
    <row r="240">
      <c r="AE240" s="86"/>
      <c r="AF240" s="86"/>
      <c r="AG240" s="86"/>
      <c r="AI240" s="86"/>
      <c r="AJ240" s="86"/>
      <c r="AK240" s="86"/>
    </row>
    <row r="241">
      <c r="AE241" s="86"/>
      <c r="AF241" s="86"/>
      <c r="AG241" s="86"/>
      <c r="AI241" s="86"/>
      <c r="AJ241" s="86"/>
      <c r="AK241" s="86"/>
    </row>
    <row r="242">
      <c r="AE242" s="86"/>
      <c r="AF242" s="86"/>
      <c r="AG242" s="86"/>
      <c r="AI242" s="86"/>
      <c r="AJ242" s="86"/>
      <c r="AK242" s="86"/>
    </row>
    <row r="243">
      <c r="AE243" s="86"/>
      <c r="AF243" s="86"/>
      <c r="AG243" s="86"/>
      <c r="AI243" s="86"/>
      <c r="AJ243" s="86"/>
      <c r="AK243" s="86"/>
    </row>
    <row r="244">
      <c r="AE244" s="86"/>
      <c r="AF244" s="86"/>
      <c r="AG244" s="86"/>
      <c r="AI244" s="86"/>
      <c r="AJ244" s="86"/>
      <c r="AK244" s="86"/>
    </row>
    <row r="245">
      <c r="AE245" s="86"/>
      <c r="AF245" s="86"/>
      <c r="AG245" s="86"/>
      <c r="AI245" s="86"/>
      <c r="AJ245" s="86"/>
      <c r="AK245" s="86"/>
    </row>
    <row r="246">
      <c r="AE246" s="86"/>
      <c r="AF246" s="86"/>
      <c r="AG246" s="86"/>
      <c r="AI246" s="86"/>
      <c r="AJ246" s="86"/>
      <c r="AK246" s="86"/>
    </row>
    <row r="247">
      <c r="AE247" s="86"/>
      <c r="AF247" s="86"/>
      <c r="AG247" s="86"/>
      <c r="AI247" s="86"/>
      <c r="AJ247" s="86"/>
      <c r="AK247" s="86"/>
    </row>
    <row r="248">
      <c r="AE248" s="86"/>
      <c r="AF248" s="86"/>
      <c r="AG248" s="86"/>
      <c r="AI248" s="86"/>
      <c r="AJ248" s="86"/>
      <c r="AK248" s="86"/>
    </row>
    <row r="249">
      <c r="AE249" s="86"/>
      <c r="AF249" s="86"/>
      <c r="AG249" s="86"/>
      <c r="AI249" s="86"/>
      <c r="AJ249" s="86"/>
      <c r="AK249" s="86"/>
    </row>
    <row r="250">
      <c r="AE250" s="86"/>
      <c r="AF250" s="86"/>
      <c r="AG250" s="86"/>
      <c r="AI250" s="86"/>
      <c r="AJ250" s="86"/>
      <c r="AK250" s="86"/>
    </row>
    <row r="251">
      <c r="AE251" s="86"/>
      <c r="AF251" s="86"/>
      <c r="AG251" s="86"/>
      <c r="AI251" s="86"/>
      <c r="AJ251" s="86"/>
      <c r="AK251" s="86"/>
    </row>
    <row r="252">
      <c r="AE252" s="86"/>
      <c r="AF252" s="86"/>
      <c r="AG252" s="86"/>
      <c r="AI252" s="86"/>
      <c r="AJ252" s="86"/>
      <c r="AK252" s="86"/>
    </row>
    <row r="253">
      <c r="AE253" s="86"/>
      <c r="AF253" s="86"/>
      <c r="AG253" s="86"/>
      <c r="AI253" s="86"/>
      <c r="AJ253" s="86"/>
      <c r="AK253" s="86"/>
    </row>
    <row r="254">
      <c r="AE254" s="86"/>
      <c r="AF254" s="86"/>
      <c r="AG254" s="86"/>
      <c r="AI254" s="86"/>
      <c r="AJ254" s="86"/>
      <c r="AK254" s="86"/>
    </row>
    <row r="255">
      <c r="AE255" s="86"/>
      <c r="AF255" s="86"/>
      <c r="AG255" s="86"/>
      <c r="AI255" s="86"/>
      <c r="AJ255" s="86"/>
      <c r="AK255" s="86"/>
    </row>
    <row r="256">
      <c r="AE256" s="86"/>
      <c r="AF256" s="86"/>
      <c r="AG256" s="86"/>
      <c r="AI256" s="86"/>
      <c r="AJ256" s="86"/>
      <c r="AK256" s="86"/>
    </row>
    <row r="257">
      <c r="AE257" s="86"/>
      <c r="AF257" s="86"/>
      <c r="AG257" s="86"/>
      <c r="AI257" s="86"/>
      <c r="AJ257" s="86"/>
      <c r="AK257" s="86"/>
    </row>
    <row r="258">
      <c r="AE258" s="86"/>
      <c r="AF258" s="86"/>
      <c r="AG258" s="86"/>
      <c r="AI258" s="86"/>
      <c r="AJ258" s="86"/>
      <c r="AK258" s="86"/>
    </row>
    <row r="259">
      <c r="AE259" s="86"/>
      <c r="AF259" s="86"/>
      <c r="AG259" s="86"/>
      <c r="AI259" s="86"/>
      <c r="AJ259" s="86"/>
      <c r="AK259" s="86"/>
    </row>
    <row r="260">
      <c r="AE260" s="86"/>
      <c r="AF260" s="86"/>
      <c r="AG260" s="86"/>
      <c r="AI260" s="86"/>
      <c r="AJ260" s="86"/>
      <c r="AK260" s="86"/>
    </row>
    <row r="261">
      <c r="AE261" s="86"/>
      <c r="AF261" s="86"/>
      <c r="AG261" s="86"/>
      <c r="AI261" s="86"/>
      <c r="AJ261" s="86"/>
      <c r="AK261" s="86"/>
    </row>
    <row r="262">
      <c r="AE262" s="86"/>
      <c r="AF262" s="86"/>
      <c r="AG262" s="86"/>
      <c r="AI262" s="86"/>
      <c r="AJ262" s="86"/>
      <c r="AK262" s="86"/>
    </row>
    <row r="263">
      <c r="AE263" s="86"/>
      <c r="AF263" s="86"/>
      <c r="AG263" s="86"/>
      <c r="AI263" s="86"/>
      <c r="AJ263" s="86"/>
      <c r="AK263" s="86"/>
    </row>
    <row r="264">
      <c r="AE264" s="86"/>
      <c r="AF264" s="86"/>
      <c r="AG264" s="86"/>
      <c r="AI264" s="86"/>
      <c r="AJ264" s="86"/>
      <c r="AK264" s="86"/>
    </row>
    <row r="265">
      <c r="AE265" s="86"/>
      <c r="AF265" s="86"/>
      <c r="AG265" s="86"/>
      <c r="AI265" s="86"/>
      <c r="AJ265" s="86"/>
      <c r="AK265" s="86"/>
    </row>
    <row r="266">
      <c r="AE266" s="86"/>
      <c r="AF266" s="86"/>
      <c r="AG266" s="86"/>
      <c r="AI266" s="86"/>
      <c r="AJ266" s="86"/>
      <c r="AK266" s="86"/>
    </row>
    <row r="267">
      <c r="AE267" s="86"/>
      <c r="AF267" s="86"/>
      <c r="AG267" s="86"/>
      <c r="AI267" s="86"/>
      <c r="AJ267" s="86"/>
      <c r="AK267" s="86"/>
    </row>
    <row r="268">
      <c r="AE268" s="86"/>
      <c r="AF268" s="86"/>
      <c r="AG268" s="86"/>
      <c r="AI268" s="86"/>
      <c r="AJ268" s="86"/>
      <c r="AK268" s="86"/>
    </row>
    <row r="269">
      <c r="AE269" s="86"/>
      <c r="AF269" s="86"/>
      <c r="AG269" s="86"/>
      <c r="AI269" s="86"/>
      <c r="AJ269" s="86"/>
      <c r="AK269" s="86"/>
    </row>
    <row r="270">
      <c r="AE270" s="86"/>
      <c r="AF270" s="86"/>
      <c r="AG270" s="86"/>
      <c r="AI270" s="86"/>
      <c r="AJ270" s="86"/>
      <c r="AK270" s="86"/>
    </row>
    <row r="271">
      <c r="AE271" s="86"/>
      <c r="AF271" s="86"/>
      <c r="AG271" s="86"/>
      <c r="AI271" s="86"/>
      <c r="AJ271" s="86"/>
      <c r="AK271" s="86"/>
    </row>
    <row r="272">
      <c r="AE272" s="86"/>
      <c r="AF272" s="86"/>
      <c r="AG272" s="86"/>
      <c r="AI272" s="86"/>
      <c r="AJ272" s="86"/>
      <c r="AK272" s="86"/>
    </row>
    <row r="273">
      <c r="AE273" s="86"/>
      <c r="AF273" s="86"/>
      <c r="AG273" s="86"/>
      <c r="AI273" s="86"/>
      <c r="AJ273" s="86"/>
      <c r="AK273" s="86"/>
    </row>
    <row r="274">
      <c r="AE274" s="86"/>
      <c r="AF274" s="86"/>
      <c r="AG274" s="86"/>
      <c r="AI274" s="86"/>
      <c r="AJ274" s="86"/>
      <c r="AK274" s="86"/>
    </row>
    <row r="275">
      <c r="AE275" s="86"/>
      <c r="AF275" s="86"/>
      <c r="AG275" s="86"/>
      <c r="AI275" s="86"/>
      <c r="AJ275" s="86"/>
      <c r="AK275" s="86"/>
    </row>
    <row r="276">
      <c r="AE276" s="86"/>
      <c r="AF276" s="86"/>
      <c r="AG276" s="86"/>
      <c r="AI276" s="86"/>
      <c r="AJ276" s="86"/>
      <c r="AK276" s="86"/>
    </row>
    <row r="277">
      <c r="AE277" s="86"/>
      <c r="AF277" s="86"/>
      <c r="AG277" s="86"/>
      <c r="AI277" s="86"/>
      <c r="AJ277" s="86"/>
      <c r="AK277" s="86"/>
    </row>
    <row r="278">
      <c r="AE278" s="86"/>
      <c r="AF278" s="86"/>
      <c r="AG278" s="86"/>
      <c r="AI278" s="86"/>
      <c r="AJ278" s="86"/>
      <c r="AK278" s="86"/>
    </row>
    <row r="279">
      <c r="AE279" s="86"/>
      <c r="AF279" s="86"/>
      <c r="AG279" s="86"/>
      <c r="AI279" s="86"/>
      <c r="AJ279" s="86"/>
      <c r="AK279" s="86"/>
    </row>
    <row r="280">
      <c r="AE280" s="86"/>
      <c r="AF280" s="86"/>
      <c r="AG280" s="86"/>
      <c r="AI280" s="86"/>
      <c r="AJ280" s="86"/>
      <c r="AK280" s="86"/>
    </row>
    <row r="281">
      <c r="AE281" s="86"/>
      <c r="AF281" s="86"/>
      <c r="AG281" s="86"/>
      <c r="AI281" s="86"/>
      <c r="AJ281" s="86"/>
      <c r="AK281" s="86"/>
    </row>
    <row r="282">
      <c r="AE282" s="86"/>
      <c r="AF282" s="86"/>
      <c r="AG282" s="86"/>
      <c r="AI282" s="86"/>
      <c r="AJ282" s="86"/>
      <c r="AK282" s="86"/>
    </row>
    <row r="283">
      <c r="AE283" s="86"/>
      <c r="AF283" s="86"/>
      <c r="AG283" s="86"/>
      <c r="AI283" s="86"/>
      <c r="AJ283" s="86"/>
      <c r="AK283" s="86"/>
    </row>
    <row r="284">
      <c r="AE284" s="86"/>
      <c r="AF284" s="86"/>
      <c r="AG284" s="86"/>
      <c r="AI284" s="86"/>
      <c r="AJ284" s="86"/>
      <c r="AK284" s="86"/>
    </row>
    <row r="285">
      <c r="AE285" s="86"/>
      <c r="AF285" s="86"/>
      <c r="AG285" s="86"/>
      <c r="AI285" s="86"/>
      <c r="AJ285" s="86"/>
      <c r="AK285" s="86"/>
    </row>
    <row r="286">
      <c r="AE286" s="86"/>
      <c r="AF286" s="86"/>
      <c r="AG286" s="86"/>
      <c r="AI286" s="86"/>
      <c r="AJ286" s="86"/>
      <c r="AK286" s="86"/>
    </row>
    <row r="287">
      <c r="AE287" s="86"/>
      <c r="AF287" s="86"/>
      <c r="AG287" s="86"/>
      <c r="AI287" s="86"/>
      <c r="AJ287" s="86"/>
      <c r="AK287" s="86"/>
    </row>
    <row r="288">
      <c r="AE288" s="86"/>
      <c r="AF288" s="86"/>
      <c r="AG288" s="86"/>
      <c r="AI288" s="86"/>
      <c r="AJ288" s="86"/>
      <c r="AK288" s="86"/>
    </row>
    <row r="289">
      <c r="AE289" s="86"/>
      <c r="AF289" s="86"/>
      <c r="AG289" s="86"/>
      <c r="AI289" s="86"/>
      <c r="AJ289" s="86"/>
      <c r="AK289" s="86"/>
    </row>
    <row r="290">
      <c r="AE290" s="86"/>
      <c r="AF290" s="86"/>
      <c r="AG290" s="86"/>
      <c r="AI290" s="86"/>
      <c r="AJ290" s="86"/>
      <c r="AK290" s="86"/>
    </row>
    <row r="291">
      <c r="AE291" s="86"/>
      <c r="AF291" s="86"/>
      <c r="AG291" s="86"/>
      <c r="AI291" s="86"/>
      <c r="AJ291" s="86"/>
      <c r="AK291" s="86"/>
    </row>
    <row r="292">
      <c r="AE292" s="86"/>
      <c r="AF292" s="86"/>
      <c r="AG292" s="86"/>
      <c r="AI292" s="86"/>
      <c r="AJ292" s="86"/>
      <c r="AK292" s="86"/>
    </row>
    <row r="293">
      <c r="AE293" s="86"/>
      <c r="AF293" s="86"/>
      <c r="AG293" s="86"/>
      <c r="AI293" s="86"/>
      <c r="AJ293" s="86"/>
      <c r="AK293" s="86"/>
    </row>
    <row r="294">
      <c r="AE294" s="86"/>
      <c r="AF294" s="86"/>
      <c r="AG294" s="86"/>
      <c r="AI294" s="86"/>
      <c r="AJ294" s="86"/>
      <c r="AK294" s="86"/>
    </row>
    <row r="295">
      <c r="AE295" s="86"/>
      <c r="AF295" s="86"/>
      <c r="AG295" s="86"/>
      <c r="AI295" s="86"/>
      <c r="AJ295" s="86"/>
      <c r="AK295" s="86"/>
    </row>
    <row r="296">
      <c r="AE296" s="86"/>
      <c r="AF296" s="86"/>
      <c r="AG296" s="86"/>
      <c r="AI296" s="86"/>
      <c r="AJ296" s="86"/>
      <c r="AK296" s="86"/>
    </row>
    <row r="297">
      <c r="AE297" s="86"/>
      <c r="AF297" s="86"/>
      <c r="AG297" s="86"/>
      <c r="AI297" s="86"/>
      <c r="AJ297" s="86"/>
      <c r="AK297" s="86"/>
    </row>
    <row r="298">
      <c r="AE298" s="86"/>
      <c r="AF298" s="86"/>
      <c r="AG298" s="86"/>
      <c r="AI298" s="86"/>
      <c r="AJ298" s="86"/>
      <c r="AK298" s="86"/>
    </row>
    <row r="299">
      <c r="AE299" s="86"/>
      <c r="AF299" s="86"/>
      <c r="AG299" s="86"/>
      <c r="AI299" s="86"/>
      <c r="AJ299" s="86"/>
      <c r="AK299" s="86"/>
    </row>
    <row r="300">
      <c r="AE300" s="86"/>
      <c r="AF300" s="86"/>
      <c r="AG300" s="86"/>
      <c r="AI300" s="86"/>
      <c r="AJ300" s="86"/>
      <c r="AK300" s="86"/>
    </row>
    <row r="301">
      <c r="AE301" s="86"/>
      <c r="AF301" s="86"/>
      <c r="AG301" s="86"/>
      <c r="AI301" s="86"/>
      <c r="AJ301" s="86"/>
      <c r="AK301" s="86"/>
    </row>
    <row r="302">
      <c r="AE302" s="86"/>
      <c r="AF302" s="86"/>
      <c r="AG302" s="86"/>
      <c r="AI302" s="86"/>
      <c r="AJ302" s="86"/>
      <c r="AK302" s="86"/>
    </row>
    <row r="303">
      <c r="AE303" s="86"/>
      <c r="AF303" s="86"/>
      <c r="AG303" s="86"/>
      <c r="AI303" s="86"/>
      <c r="AJ303" s="86"/>
      <c r="AK303" s="86"/>
    </row>
    <row r="304">
      <c r="AE304" s="86"/>
      <c r="AF304" s="86"/>
      <c r="AG304" s="86"/>
      <c r="AI304" s="86"/>
      <c r="AJ304" s="86"/>
      <c r="AK304" s="86"/>
    </row>
    <row r="305">
      <c r="AE305" s="86"/>
      <c r="AF305" s="86"/>
      <c r="AG305" s="86"/>
      <c r="AI305" s="86"/>
      <c r="AJ305" s="86"/>
      <c r="AK305" s="86"/>
    </row>
    <row r="306">
      <c r="AE306" s="86"/>
      <c r="AF306" s="86"/>
      <c r="AG306" s="86"/>
      <c r="AI306" s="86"/>
      <c r="AJ306" s="86"/>
      <c r="AK306" s="86"/>
    </row>
    <row r="307">
      <c r="AE307" s="86"/>
      <c r="AF307" s="86"/>
      <c r="AG307" s="86"/>
      <c r="AI307" s="86"/>
      <c r="AJ307" s="86"/>
      <c r="AK307" s="86"/>
    </row>
    <row r="308">
      <c r="AE308" s="86"/>
      <c r="AF308" s="86"/>
      <c r="AG308" s="86"/>
      <c r="AI308" s="86"/>
      <c r="AJ308" s="86"/>
      <c r="AK308" s="86"/>
    </row>
    <row r="309">
      <c r="AE309" s="86"/>
      <c r="AF309" s="86"/>
      <c r="AG309" s="86"/>
      <c r="AI309" s="86"/>
      <c r="AJ309" s="86"/>
      <c r="AK309" s="86"/>
    </row>
    <row r="310">
      <c r="AE310" s="86"/>
      <c r="AF310" s="86"/>
      <c r="AG310" s="86"/>
      <c r="AI310" s="86"/>
      <c r="AJ310" s="86"/>
      <c r="AK310" s="86"/>
    </row>
    <row r="311">
      <c r="AE311" s="86"/>
      <c r="AF311" s="86"/>
      <c r="AG311" s="86"/>
      <c r="AI311" s="86"/>
      <c r="AJ311" s="86"/>
      <c r="AK311" s="86"/>
    </row>
    <row r="312">
      <c r="AE312" s="86"/>
      <c r="AF312" s="86"/>
      <c r="AG312" s="86"/>
      <c r="AI312" s="86"/>
      <c r="AJ312" s="86"/>
      <c r="AK312" s="86"/>
    </row>
    <row r="313">
      <c r="AE313" s="86"/>
      <c r="AF313" s="86"/>
      <c r="AG313" s="86"/>
      <c r="AI313" s="86"/>
      <c r="AJ313" s="86"/>
      <c r="AK313" s="86"/>
    </row>
    <row r="314">
      <c r="AE314" s="86"/>
      <c r="AF314" s="86"/>
      <c r="AG314" s="86"/>
      <c r="AI314" s="86"/>
      <c r="AJ314" s="86"/>
      <c r="AK314" s="86"/>
    </row>
    <row r="315">
      <c r="AE315" s="86"/>
      <c r="AF315" s="86"/>
      <c r="AG315" s="86"/>
      <c r="AI315" s="86"/>
      <c r="AJ315" s="86"/>
      <c r="AK315" s="86"/>
    </row>
    <row r="316">
      <c r="AE316" s="86"/>
      <c r="AF316" s="86"/>
      <c r="AG316" s="86"/>
      <c r="AI316" s="86"/>
      <c r="AJ316" s="86"/>
      <c r="AK316" s="86"/>
    </row>
    <row r="317">
      <c r="AE317" s="86"/>
      <c r="AF317" s="86"/>
      <c r="AG317" s="86"/>
      <c r="AI317" s="86"/>
      <c r="AJ317" s="86"/>
      <c r="AK317" s="86"/>
    </row>
    <row r="318">
      <c r="AE318" s="86"/>
      <c r="AF318" s="86"/>
      <c r="AG318" s="86"/>
      <c r="AI318" s="86"/>
      <c r="AJ318" s="86"/>
      <c r="AK318" s="86"/>
    </row>
    <row r="319">
      <c r="AE319" s="86"/>
      <c r="AF319" s="86"/>
      <c r="AG319" s="86"/>
      <c r="AI319" s="86"/>
      <c r="AJ319" s="86"/>
      <c r="AK319" s="86"/>
    </row>
    <row r="320">
      <c r="AE320" s="86"/>
      <c r="AF320" s="86"/>
      <c r="AG320" s="86"/>
      <c r="AI320" s="86"/>
      <c r="AJ320" s="86"/>
      <c r="AK320" s="86"/>
    </row>
    <row r="321">
      <c r="AE321" s="86"/>
      <c r="AF321" s="86"/>
      <c r="AG321" s="86"/>
      <c r="AI321" s="86"/>
      <c r="AJ321" s="86"/>
      <c r="AK321" s="86"/>
    </row>
    <row r="322">
      <c r="AE322" s="86"/>
      <c r="AF322" s="86"/>
      <c r="AG322" s="86"/>
      <c r="AI322" s="86"/>
      <c r="AJ322" s="86"/>
      <c r="AK322" s="86"/>
    </row>
    <row r="323">
      <c r="AE323" s="86"/>
      <c r="AF323" s="86"/>
      <c r="AG323" s="86"/>
      <c r="AI323" s="86"/>
      <c r="AJ323" s="86"/>
      <c r="AK323" s="86"/>
    </row>
    <row r="324">
      <c r="AE324" s="86"/>
      <c r="AF324" s="86"/>
      <c r="AG324" s="86"/>
      <c r="AI324" s="86"/>
      <c r="AJ324" s="86"/>
      <c r="AK324" s="86"/>
    </row>
    <row r="325">
      <c r="AE325" s="86"/>
      <c r="AF325" s="86"/>
      <c r="AG325" s="86"/>
      <c r="AI325" s="86"/>
      <c r="AJ325" s="86"/>
      <c r="AK325" s="86"/>
    </row>
    <row r="326">
      <c r="AE326" s="86"/>
      <c r="AF326" s="86"/>
      <c r="AG326" s="86"/>
      <c r="AI326" s="86"/>
      <c r="AJ326" s="86"/>
      <c r="AK326" s="86"/>
    </row>
    <row r="327">
      <c r="AE327" s="86"/>
      <c r="AF327" s="86"/>
      <c r="AG327" s="86"/>
      <c r="AI327" s="86"/>
      <c r="AJ327" s="86"/>
      <c r="AK327" s="86"/>
    </row>
    <row r="328">
      <c r="AE328" s="86"/>
      <c r="AF328" s="86"/>
      <c r="AG328" s="86"/>
      <c r="AI328" s="86"/>
      <c r="AJ328" s="86"/>
      <c r="AK328" s="86"/>
    </row>
    <row r="329">
      <c r="AE329" s="86"/>
      <c r="AF329" s="86"/>
      <c r="AG329" s="86"/>
      <c r="AI329" s="86"/>
      <c r="AJ329" s="86"/>
      <c r="AK329" s="86"/>
    </row>
    <row r="330">
      <c r="AE330" s="86"/>
      <c r="AF330" s="86"/>
      <c r="AG330" s="86"/>
      <c r="AI330" s="86"/>
      <c r="AJ330" s="86"/>
      <c r="AK330" s="86"/>
    </row>
    <row r="331">
      <c r="AE331" s="86"/>
      <c r="AF331" s="86"/>
      <c r="AG331" s="86"/>
      <c r="AI331" s="86"/>
      <c r="AJ331" s="86"/>
      <c r="AK331" s="86"/>
    </row>
    <row r="332">
      <c r="AE332" s="86"/>
      <c r="AF332" s="86"/>
      <c r="AG332" s="86"/>
      <c r="AI332" s="86"/>
      <c r="AJ332" s="86"/>
      <c r="AK332" s="86"/>
    </row>
    <row r="333">
      <c r="AE333" s="86"/>
      <c r="AF333" s="86"/>
      <c r="AG333" s="86"/>
      <c r="AI333" s="86"/>
      <c r="AJ333" s="86"/>
      <c r="AK333" s="86"/>
    </row>
    <row r="334">
      <c r="AE334" s="86"/>
      <c r="AF334" s="86"/>
      <c r="AG334" s="86"/>
      <c r="AI334" s="86"/>
      <c r="AJ334" s="86"/>
      <c r="AK334" s="86"/>
    </row>
    <row r="335">
      <c r="AE335" s="86"/>
      <c r="AF335" s="86"/>
      <c r="AG335" s="86"/>
      <c r="AI335" s="86"/>
      <c r="AJ335" s="86"/>
      <c r="AK335" s="86"/>
    </row>
    <row r="336">
      <c r="AE336" s="86"/>
      <c r="AF336" s="86"/>
      <c r="AG336" s="86"/>
      <c r="AI336" s="86"/>
      <c r="AJ336" s="86"/>
      <c r="AK336" s="86"/>
    </row>
    <row r="337">
      <c r="AE337" s="86"/>
      <c r="AF337" s="86"/>
      <c r="AG337" s="86"/>
      <c r="AI337" s="86"/>
      <c r="AJ337" s="86"/>
      <c r="AK337" s="86"/>
    </row>
    <row r="338">
      <c r="AE338" s="86"/>
      <c r="AF338" s="86"/>
      <c r="AG338" s="86"/>
      <c r="AI338" s="86"/>
      <c r="AJ338" s="86"/>
      <c r="AK338" s="86"/>
    </row>
    <row r="339">
      <c r="AE339" s="86"/>
      <c r="AF339" s="86"/>
      <c r="AG339" s="86"/>
      <c r="AI339" s="86"/>
      <c r="AJ339" s="86"/>
      <c r="AK339" s="86"/>
    </row>
    <row r="340">
      <c r="AE340" s="86"/>
      <c r="AF340" s="86"/>
      <c r="AG340" s="86"/>
      <c r="AI340" s="86"/>
      <c r="AJ340" s="86"/>
      <c r="AK340" s="86"/>
    </row>
    <row r="341">
      <c r="AE341" s="86"/>
      <c r="AF341" s="86"/>
      <c r="AG341" s="86"/>
      <c r="AI341" s="86"/>
      <c r="AJ341" s="86"/>
      <c r="AK341" s="86"/>
    </row>
    <row r="342">
      <c r="AE342" s="86"/>
      <c r="AF342" s="86"/>
      <c r="AG342" s="86"/>
      <c r="AI342" s="86"/>
      <c r="AJ342" s="86"/>
      <c r="AK342" s="86"/>
    </row>
    <row r="343">
      <c r="AE343" s="86"/>
      <c r="AF343" s="86"/>
      <c r="AG343" s="86"/>
      <c r="AI343" s="86"/>
      <c r="AJ343" s="86"/>
      <c r="AK343" s="86"/>
    </row>
    <row r="344">
      <c r="AE344" s="86"/>
      <c r="AF344" s="86"/>
      <c r="AG344" s="86"/>
      <c r="AI344" s="86"/>
      <c r="AJ344" s="86"/>
      <c r="AK344" s="86"/>
    </row>
    <row r="345">
      <c r="AE345" s="86"/>
      <c r="AF345" s="86"/>
      <c r="AG345" s="86"/>
      <c r="AI345" s="86"/>
      <c r="AJ345" s="86"/>
      <c r="AK345" s="86"/>
    </row>
    <row r="346">
      <c r="AE346" s="86"/>
      <c r="AF346" s="86"/>
      <c r="AG346" s="86"/>
      <c r="AI346" s="86"/>
      <c r="AJ346" s="86"/>
      <c r="AK346" s="86"/>
    </row>
    <row r="347">
      <c r="AE347" s="86"/>
      <c r="AF347" s="86"/>
      <c r="AG347" s="86"/>
      <c r="AI347" s="86"/>
      <c r="AJ347" s="86"/>
      <c r="AK347" s="86"/>
    </row>
    <row r="348">
      <c r="AE348" s="86"/>
      <c r="AF348" s="86"/>
      <c r="AG348" s="86"/>
      <c r="AI348" s="86"/>
      <c r="AJ348" s="86"/>
      <c r="AK348" s="86"/>
    </row>
    <row r="349">
      <c r="AE349" s="86"/>
      <c r="AF349" s="86"/>
      <c r="AG349" s="86"/>
      <c r="AI349" s="86"/>
      <c r="AJ349" s="86"/>
      <c r="AK349" s="86"/>
    </row>
    <row r="350">
      <c r="AE350" s="86"/>
      <c r="AF350" s="86"/>
      <c r="AG350" s="86"/>
      <c r="AI350" s="86"/>
      <c r="AJ350" s="86"/>
      <c r="AK350" s="86"/>
    </row>
    <row r="351">
      <c r="AE351" s="86"/>
      <c r="AF351" s="86"/>
      <c r="AG351" s="86"/>
      <c r="AI351" s="86"/>
      <c r="AJ351" s="86"/>
      <c r="AK351" s="86"/>
    </row>
    <row r="352">
      <c r="AE352" s="86"/>
      <c r="AF352" s="86"/>
      <c r="AG352" s="86"/>
      <c r="AI352" s="86"/>
      <c r="AJ352" s="86"/>
      <c r="AK352" s="86"/>
    </row>
    <row r="353">
      <c r="AE353" s="86"/>
      <c r="AF353" s="86"/>
      <c r="AG353" s="86"/>
      <c r="AI353" s="86"/>
      <c r="AJ353" s="86"/>
      <c r="AK353" s="86"/>
    </row>
    <row r="354">
      <c r="AE354" s="86"/>
      <c r="AF354" s="86"/>
      <c r="AG354" s="86"/>
      <c r="AI354" s="86"/>
      <c r="AJ354" s="86"/>
      <c r="AK354" s="86"/>
    </row>
    <row r="355">
      <c r="AE355" s="86"/>
      <c r="AF355" s="86"/>
      <c r="AG355" s="86"/>
      <c r="AI355" s="86"/>
      <c r="AJ355" s="86"/>
      <c r="AK355" s="86"/>
    </row>
    <row r="356">
      <c r="AE356" s="86"/>
      <c r="AF356" s="86"/>
      <c r="AG356" s="86"/>
      <c r="AI356" s="86"/>
      <c r="AJ356" s="86"/>
      <c r="AK356" s="86"/>
    </row>
    <row r="357">
      <c r="AE357" s="86"/>
      <c r="AF357" s="86"/>
      <c r="AG357" s="86"/>
      <c r="AI357" s="86"/>
      <c r="AJ357" s="86"/>
      <c r="AK357" s="86"/>
    </row>
    <row r="358">
      <c r="AE358" s="86"/>
      <c r="AF358" s="86"/>
      <c r="AG358" s="86"/>
      <c r="AI358" s="86"/>
      <c r="AJ358" s="86"/>
      <c r="AK358" s="86"/>
    </row>
    <row r="359">
      <c r="AE359" s="86"/>
      <c r="AF359" s="86"/>
      <c r="AG359" s="86"/>
      <c r="AI359" s="86"/>
      <c r="AJ359" s="86"/>
      <c r="AK359" s="86"/>
    </row>
    <row r="360">
      <c r="AE360" s="86"/>
      <c r="AF360" s="86"/>
      <c r="AG360" s="86"/>
      <c r="AI360" s="86"/>
      <c r="AJ360" s="86"/>
      <c r="AK360" s="86"/>
    </row>
    <row r="361">
      <c r="AE361" s="86"/>
      <c r="AF361" s="86"/>
      <c r="AG361" s="86"/>
      <c r="AI361" s="86"/>
      <c r="AJ361" s="86"/>
      <c r="AK361" s="86"/>
    </row>
    <row r="362">
      <c r="AE362" s="86"/>
      <c r="AF362" s="86"/>
      <c r="AG362" s="86"/>
      <c r="AI362" s="86"/>
      <c r="AJ362" s="86"/>
      <c r="AK362" s="86"/>
    </row>
    <row r="363">
      <c r="AE363" s="86"/>
      <c r="AF363" s="86"/>
      <c r="AG363" s="86"/>
      <c r="AI363" s="86"/>
      <c r="AJ363" s="86"/>
      <c r="AK363" s="86"/>
    </row>
    <row r="364">
      <c r="AE364" s="86"/>
      <c r="AF364" s="86"/>
      <c r="AG364" s="86"/>
      <c r="AI364" s="86"/>
      <c r="AJ364" s="86"/>
      <c r="AK364" s="86"/>
    </row>
    <row r="365">
      <c r="AE365" s="86"/>
      <c r="AF365" s="86"/>
      <c r="AG365" s="86"/>
      <c r="AI365" s="86"/>
      <c r="AJ365" s="86"/>
      <c r="AK365" s="86"/>
    </row>
    <row r="366">
      <c r="AE366" s="86"/>
      <c r="AF366" s="86"/>
      <c r="AG366" s="86"/>
      <c r="AI366" s="86"/>
      <c r="AJ366" s="86"/>
      <c r="AK366" s="86"/>
    </row>
    <row r="367">
      <c r="AE367" s="86"/>
      <c r="AF367" s="86"/>
      <c r="AG367" s="86"/>
      <c r="AI367" s="86"/>
      <c r="AJ367" s="86"/>
      <c r="AK367" s="86"/>
    </row>
    <row r="368">
      <c r="AE368" s="86"/>
      <c r="AF368" s="86"/>
      <c r="AG368" s="86"/>
      <c r="AI368" s="86"/>
      <c r="AJ368" s="86"/>
      <c r="AK368" s="86"/>
    </row>
    <row r="369">
      <c r="AE369" s="86"/>
      <c r="AF369" s="86"/>
      <c r="AG369" s="86"/>
      <c r="AI369" s="86"/>
      <c r="AJ369" s="86"/>
      <c r="AK369" s="86"/>
    </row>
    <row r="370">
      <c r="AE370" s="86"/>
      <c r="AF370" s="86"/>
      <c r="AG370" s="86"/>
      <c r="AI370" s="86"/>
      <c r="AJ370" s="86"/>
      <c r="AK370" s="86"/>
    </row>
    <row r="371">
      <c r="AE371" s="86"/>
      <c r="AF371" s="86"/>
      <c r="AG371" s="86"/>
      <c r="AI371" s="86"/>
      <c r="AJ371" s="86"/>
      <c r="AK371" s="86"/>
    </row>
    <row r="372">
      <c r="AE372" s="86"/>
      <c r="AF372" s="86"/>
      <c r="AG372" s="86"/>
      <c r="AI372" s="86"/>
      <c r="AJ372" s="86"/>
      <c r="AK372" s="86"/>
    </row>
    <row r="373">
      <c r="AE373" s="86"/>
      <c r="AF373" s="86"/>
      <c r="AG373" s="86"/>
      <c r="AI373" s="86"/>
      <c r="AJ373" s="86"/>
      <c r="AK373" s="86"/>
    </row>
    <row r="374">
      <c r="AE374" s="86"/>
      <c r="AF374" s="86"/>
      <c r="AG374" s="86"/>
      <c r="AI374" s="86"/>
      <c r="AJ374" s="86"/>
      <c r="AK374" s="86"/>
    </row>
    <row r="375">
      <c r="AE375" s="86"/>
      <c r="AF375" s="86"/>
      <c r="AG375" s="86"/>
      <c r="AI375" s="86"/>
      <c r="AJ375" s="86"/>
      <c r="AK375" s="86"/>
    </row>
    <row r="376">
      <c r="AE376" s="86"/>
      <c r="AF376" s="86"/>
      <c r="AG376" s="86"/>
      <c r="AI376" s="86"/>
      <c r="AJ376" s="86"/>
      <c r="AK376" s="86"/>
    </row>
    <row r="377">
      <c r="AE377" s="86"/>
      <c r="AF377" s="86"/>
      <c r="AG377" s="86"/>
      <c r="AI377" s="86"/>
      <c r="AJ377" s="86"/>
      <c r="AK377" s="86"/>
    </row>
    <row r="378">
      <c r="AE378" s="86"/>
      <c r="AF378" s="86"/>
      <c r="AG378" s="86"/>
      <c r="AI378" s="86"/>
      <c r="AJ378" s="86"/>
      <c r="AK378" s="86"/>
    </row>
    <row r="379">
      <c r="AE379" s="86"/>
      <c r="AF379" s="86"/>
      <c r="AG379" s="86"/>
      <c r="AI379" s="86"/>
      <c r="AJ379" s="86"/>
      <c r="AK379" s="86"/>
    </row>
    <row r="380">
      <c r="AE380" s="86"/>
      <c r="AF380" s="86"/>
      <c r="AG380" s="86"/>
      <c r="AI380" s="86"/>
      <c r="AJ380" s="86"/>
      <c r="AK380" s="86"/>
    </row>
    <row r="381">
      <c r="AE381" s="86"/>
      <c r="AF381" s="86"/>
      <c r="AG381" s="86"/>
      <c r="AI381" s="86"/>
      <c r="AJ381" s="86"/>
      <c r="AK381" s="86"/>
    </row>
    <row r="382">
      <c r="AE382" s="86"/>
      <c r="AF382" s="86"/>
      <c r="AG382" s="86"/>
      <c r="AI382" s="86"/>
      <c r="AJ382" s="86"/>
      <c r="AK382" s="86"/>
    </row>
    <row r="383">
      <c r="AE383" s="86"/>
      <c r="AF383" s="86"/>
      <c r="AG383" s="86"/>
      <c r="AI383" s="86"/>
      <c r="AJ383" s="86"/>
      <c r="AK383" s="86"/>
    </row>
    <row r="384">
      <c r="AE384" s="86"/>
      <c r="AF384" s="86"/>
      <c r="AG384" s="86"/>
      <c r="AI384" s="86"/>
      <c r="AJ384" s="86"/>
      <c r="AK384" s="86"/>
    </row>
    <row r="385">
      <c r="AE385" s="86"/>
      <c r="AF385" s="86"/>
      <c r="AG385" s="86"/>
      <c r="AI385" s="86"/>
      <c r="AJ385" s="86"/>
      <c r="AK385" s="86"/>
    </row>
    <row r="386">
      <c r="AE386" s="86"/>
      <c r="AF386" s="86"/>
      <c r="AG386" s="86"/>
      <c r="AI386" s="86"/>
      <c r="AJ386" s="86"/>
      <c r="AK386" s="86"/>
    </row>
    <row r="387">
      <c r="AE387" s="86"/>
      <c r="AF387" s="86"/>
      <c r="AG387" s="86"/>
      <c r="AI387" s="86"/>
      <c r="AJ387" s="86"/>
      <c r="AK387" s="86"/>
    </row>
    <row r="388">
      <c r="AE388" s="86"/>
      <c r="AF388" s="86"/>
      <c r="AG388" s="86"/>
      <c r="AI388" s="86"/>
      <c r="AJ388" s="86"/>
      <c r="AK388" s="86"/>
    </row>
    <row r="389">
      <c r="AE389" s="86"/>
      <c r="AF389" s="86"/>
      <c r="AG389" s="86"/>
      <c r="AI389" s="86"/>
      <c r="AJ389" s="86"/>
      <c r="AK389" s="86"/>
    </row>
    <row r="390">
      <c r="AE390" s="86"/>
      <c r="AF390" s="86"/>
      <c r="AG390" s="86"/>
      <c r="AI390" s="86"/>
      <c r="AJ390" s="86"/>
      <c r="AK390" s="86"/>
    </row>
    <row r="391">
      <c r="AE391" s="86"/>
      <c r="AF391" s="86"/>
      <c r="AG391" s="86"/>
      <c r="AI391" s="86"/>
      <c r="AJ391" s="86"/>
      <c r="AK391" s="86"/>
    </row>
    <row r="392">
      <c r="AE392" s="86"/>
      <c r="AF392" s="86"/>
      <c r="AG392" s="86"/>
      <c r="AI392" s="86"/>
      <c r="AJ392" s="86"/>
      <c r="AK392" s="86"/>
    </row>
    <row r="393">
      <c r="AE393" s="86"/>
      <c r="AF393" s="86"/>
      <c r="AG393" s="86"/>
      <c r="AI393" s="86"/>
      <c r="AJ393" s="86"/>
      <c r="AK393" s="86"/>
    </row>
    <row r="394">
      <c r="AE394" s="86"/>
      <c r="AF394" s="86"/>
      <c r="AG394" s="86"/>
      <c r="AI394" s="86"/>
      <c r="AJ394" s="86"/>
      <c r="AK394" s="86"/>
    </row>
    <row r="395">
      <c r="AE395" s="86"/>
      <c r="AF395" s="86"/>
      <c r="AG395" s="86"/>
      <c r="AI395" s="86"/>
      <c r="AJ395" s="86"/>
      <c r="AK395" s="86"/>
    </row>
    <row r="396">
      <c r="AE396" s="86"/>
      <c r="AF396" s="86"/>
      <c r="AG396" s="86"/>
      <c r="AI396" s="86"/>
      <c r="AJ396" s="86"/>
      <c r="AK396" s="86"/>
    </row>
    <row r="397">
      <c r="AE397" s="86"/>
      <c r="AF397" s="86"/>
      <c r="AG397" s="86"/>
      <c r="AI397" s="86"/>
      <c r="AJ397" s="86"/>
      <c r="AK397" s="86"/>
    </row>
    <row r="398">
      <c r="AE398" s="86"/>
      <c r="AF398" s="86"/>
      <c r="AG398" s="86"/>
      <c r="AI398" s="86"/>
      <c r="AJ398" s="86"/>
      <c r="AK398" s="86"/>
    </row>
    <row r="399">
      <c r="AE399" s="86"/>
      <c r="AF399" s="86"/>
      <c r="AG399" s="86"/>
      <c r="AI399" s="86"/>
      <c r="AJ399" s="86"/>
      <c r="AK399" s="86"/>
    </row>
    <row r="400">
      <c r="AE400" s="86"/>
      <c r="AF400" s="86"/>
      <c r="AG400" s="86"/>
      <c r="AI400" s="86"/>
      <c r="AJ400" s="86"/>
      <c r="AK400" s="86"/>
    </row>
    <row r="401">
      <c r="AE401" s="86"/>
      <c r="AF401" s="86"/>
      <c r="AG401" s="86"/>
      <c r="AI401" s="86"/>
      <c r="AJ401" s="86"/>
      <c r="AK401" s="86"/>
    </row>
    <row r="402">
      <c r="AE402" s="86"/>
      <c r="AF402" s="86"/>
      <c r="AG402" s="86"/>
      <c r="AI402" s="86"/>
      <c r="AJ402" s="86"/>
      <c r="AK402" s="86"/>
    </row>
    <row r="403">
      <c r="AE403" s="86"/>
      <c r="AF403" s="86"/>
      <c r="AG403" s="86"/>
      <c r="AI403" s="86"/>
      <c r="AJ403" s="86"/>
      <c r="AK403" s="86"/>
    </row>
    <row r="404">
      <c r="AE404" s="86"/>
      <c r="AF404" s="86"/>
      <c r="AG404" s="86"/>
      <c r="AI404" s="86"/>
      <c r="AJ404" s="86"/>
      <c r="AK404" s="86"/>
    </row>
    <row r="405">
      <c r="AE405" s="86"/>
      <c r="AF405" s="86"/>
      <c r="AG405" s="86"/>
      <c r="AI405" s="86"/>
      <c r="AJ405" s="86"/>
      <c r="AK405" s="86"/>
    </row>
    <row r="406">
      <c r="AE406" s="86"/>
      <c r="AF406" s="86"/>
      <c r="AG406" s="86"/>
      <c r="AI406" s="86"/>
      <c r="AJ406" s="86"/>
      <c r="AK406" s="86"/>
    </row>
    <row r="407">
      <c r="AE407" s="86"/>
      <c r="AF407" s="86"/>
      <c r="AG407" s="86"/>
      <c r="AI407" s="86"/>
      <c r="AJ407" s="86"/>
      <c r="AK407" s="86"/>
    </row>
    <row r="408">
      <c r="AE408" s="86"/>
      <c r="AF408" s="86"/>
      <c r="AG408" s="86"/>
      <c r="AI408" s="86"/>
      <c r="AJ408" s="86"/>
      <c r="AK408" s="86"/>
    </row>
    <row r="409">
      <c r="AE409" s="86"/>
      <c r="AF409" s="86"/>
      <c r="AG409" s="86"/>
      <c r="AI409" s="86"/>
      <c r="AJ409" s="86"/>
      <c r="AK409" s="86"/>
    </row>
    <row r="410">
      <c r="AE410" s="86"/>
      <c r="AF410" s="86"/>
      <c r="AG410" s="86"/>
      <c r="AI410" s="86"/>
      <c r="AJ410" s="86"/>
      <c r="AK410" s="86"/>
    </row>
    <row r="411">
      <c r="AE411" s="86"/>
      <c r="AF411" s="86"/>
      <c r="AG411" s="86"/>
      <c r="AI411" s="86"/>
      <c r="AJ411" s="86"/>
      <c r="AK411" s="86"/>
    </row>
    <row r="412">
      <c r="AE412" s="86"/>
      <c r="AF412" s="86"/>
      <c r="AG412" s="86"/>
      <c r="AI412" s="86"/>
      <c r="AJ412" s="86"/>
      <c r="AK412" s="86"/>
    </row>
    <row r="413">
      <c r="AE413" s="86"/>
      <c r="AF413" s="86"/>
      <c r="AG413" s="86"/>
      <c r="AI413" s="86"/>
      <c r="AJ413" s="86"/>
      <c r="AK413" s="86"/>
    </row>
    <row r="414">
      <c r="AE414" s="86"/>
      <c r="AF414" s="86"/>
      <c r="AG414" s="86"/>
      <c r="AI414" s="86"/>
      <c r="AJ414" s="86"/>
      <c r="AK414" s="86"/>
    </row>
    <row r="415">
      <c r="AE415" s="86"/>
      <c r="AF415" s="86"/>
      <c r="AG415" s="86"/>
      <c r="AI415" s="86"/>
      <c r="AJ415" s="86"/>
      <c r="AK415" s="86"/>
    </row>
    <row r="416">
      <c r="AE416" s="86"/>
      <c r="AF416" s="86"/>
      <c r="AG416" s="86"/>
      <c r="AI416" s="86"/>
      <c r="AJ416" s="86"/>
      <c r="AK416" s="86"/>
    </row>
    <row r="417">
      <c r="AE417" s="86"/>
      <c r="AF417" s="86"/>
      <c r="AG417" s="86"/>
      <c r="AI417" s="86"/>
      <c r="AJ417" s="86"/>
      <c r="AK417" s="86"/>
    </row>
    <row r="418">
      <c r="AE418" s="86"/>
      <c r="AF418" s="86"/>
      <c r="AG418" s="86"/>
      <c r="AI418" s="86"/>
      <c r="AJ418" s="86"/>
      <c r="AK418" s="86"/>
    </row>
    <row r="419">
      <c r="AE419" s="86"/>
      <c r="AF419" s="86"/>
      <c r="AG419" s="86"/>
      <c r="AI419" s="86"/>
      <c r="AJ419" s="86"/>
      <c r="AK419" s="86"/>
    </row>
    <row r="420">
      <c r="AE420" s="86"/>
      <c r="AF420" s="86"/>
      <c r="AG420" s="86"/>
      <c r="AI420" s="86"/>
      <c r="AJ420" s="86"/>
      <c r="AK420" s="86"/>
    </row>
    <row r="421">
      <c r="AE421" s="86"/>
      <c r="AF421" s="86"/>
      <c r="AG421" s="86"/>
      <c r="AI421" s="86"/>
      <c r="AJ421" s="86"/>
      <c r="AK421" s="86"/>
    </row>
    <row r="422">
      <c r="AE422" s="86"/>
      <c r="AF422" s="86"/>
      <c r="AG422" s="86"/>
      <c r="AI422" s="86"/>
      <c r="AJ422" s="86"/>
      <c r="AK422" s="86"/>
    </row>
    <row r="423">
      <c r="AE423" s="86"/>
      <c r="AF423" s="86"/>
      <c r="AG423" s="86"/>
      <c r="AI423" s="86"/>
      <c r="AJ423" s="86"/>
      <c r="AK423" s="86"/>
    </row>
    <row r="424">
      <c r="AE424" s="86"/>
      <c r="AF424" s="86"/>
      <c r="AG424" s="86"/>
      <c r="AI424" s="86"/>
      <c r="AJ424" s="86"/>
      <c r="AK424" s="86"/>
    </row>
    <row r="425">
      <c r="AE425" s="86"/>
      <c r="AF425" s="86"/>
      <c r="AG425" s="86"/>
      <c r="AI425" s="86"/>
      <c r="AJ425" s="86"/>
      <c r="AK425" s="86"/>
    </row>
    <row r="426">
      <c r="AE426" s="86"/>
      <c r="AF426" s="86"/>
      <c r="AG426" s="86"/>
      <c r="AI426" s="86"/>
      <c r="AJ426" s="86"/>
      <c r="AK426" s="86"/>
    </row>
    <row r="427">
      <c r="AE427" s="86"/>
      <c r="AF427" s="86"/>
      <c r="AG427" s="86"/>
      <c r="AI427" s="86"/>
      <c r="AJ427" s="86"/>
      <c r="AK427" s="86"/>
    </row>
    <row r="428">
      <c r="AE428" s="86"/>
      <c r="AF428" s="86"/>
      <c r="AG428" s="86"/>
      <c r="AI428" s="86"/>
      <c r="AJ428" s="86"/>
      <c r="AK428" s="86"/>
    </row>
    <row r="429">
      <c r="AE429" s="86"/>
      <c r="AF429" s="86"/>
      <c r="AG429" s="86"/>
      <c r="AI429" s="86"/>
      <c r="AJ429" s="86"/>
      <c r="AK429" s="86"/>
    </row>
    <row r="430">
      <c r="AE430" s="86"/>
      <c r="AF430" s="86"/>
      <c r="AG430" s="86"/>
      <c r="AI430" s="86"/>
      <c r="AJ430" s="86"/>
      <c r="AK430" s="86"/>
    </row>
    <row r="431">
      <c r="AE431" s="86"/>
      <c r="AF431" s="86"/>
      <c r="AG431" s="86"/>
      <c r="AI431" s="86"/>
      <c r="AJ431" s="86"/>
      <c r="AK431" s="86"/>
    </row>
    <row r="432">
      <c r="AE432" s="86"/>
      <c r="AF432" s="86"/>
      <c r="AG432" s="86"/>
      <c r="AI432" s="86"/>
      <c r="AJ432" s="86"/>
      <c r="AK432" s="86"/>
    </row>
    <row r="433">
      <c r="AE433" s="86"/>
      <c r="AF433" s="86"/>
      <c r="AG433" s="86"/>
      <c r="AI433" s="86"/>
      <c r="AJ433" s="86"/>
      <c r="AK433" s="86"/>
    </row>
    <row r="434">
      <c r="AE434" s="86"/>
      <c r="AF434" s="86"/>
      <c r="AG434" s="86"/>
      <c r="AI434" s="86"/>
      <c r="AJ434" s="86"/>
      <c r="AK434" s="86"/>
    </row>
    <row r="435">
      <c r="AE435" s="86"/>
      <c r="AF435" s="86"/>
      <c r="AG435" s="86"/>
      <c r="AI435" s="86"/>
      <c r="AJ435" s="86"/>
      <c r="AK435" s="86"/>
    </row>
    <row r="436">
      <c r="AE436" s="86"/>
      <c r="AF436" s="86"/>
      <c r="AG436" s="86"/>
      <c r="AI436" s="86"/>
      <c r="AJ436" s="86"/>
      <c r="AK436" s="86"/>
    </row>
    <row r="437">
      <c r="AE437" s="86"/>
      <c r="AF437" s="86"/>
      <c r="AG437" s="86"/>
      <c r="AI437" s="86"/>
      <c r="AJ437" s="86"/>
      <c r="AK437" s="86"/>
    </row>
    <row r="438">
      <c r="AE438" s="86"/>
      <c r="AF438" s="86"/>
      <c r="AG438" s="86"/>
      <c r="AI438" s="86"/>
      <c r="AJ438" s="86"/>
      <c r="AK438" s="86"/>
    </row>
    <row r="439">
      <c r="AE439" s="86"/>
      <c r="AF439" s="86"/>
      <c r="AG439" s="86"/>
      <c r="AI439" s="86"/>
      <c r="AJ439" s="86"/>
      <c r="AK439" s="86"/>
    </row>
    <row r="440">
      <c r="AE440" s="86"/>
      <c r="AF440" s="86"/>
      <c r="AG440" s="86"/>
      <c r="AI440" s="86"/>
      <c r="AJ440" s="86"/>
      <c r="AK440" s="86"/>
    </row>
    <row r="441">
      <c r="AE441" s="86"/>
      <c r="AF441" s="86"/>
      <c r="AG441" s="86"/>
      <c r="AI441" s="86"/>
      <c r="AJ441" s="86"/>
      <c r="AK441" s="86"/>
    </row>
    <row r="442">
      <c r="AE442" s="86"/>
      <c r="AF442" s="86"/>
      <c r="AG442" s="86"/>
      <c r="AI442" s="86"/>
      <c r="AJ442" s="86"/>
      <c r="AK442" s="86"/>
    </row>
    <row r="443">
      <c r="AE443" s="86"/>
      <c r="AF443" s="86"/>
      <c r="AG443" s="86"/>
      <c r="AI443" s="86"/>
      <c r="AJ443" s="86"/>
      <c r="AK443" s="86"/>
    </row>
    <row r="444">
      <c r="AE444" s="86"/>
      <c r="AF444" s="86"/>
      <c r="AG444" s="86"/>
      <c r="AI444" s="86"/>
      <c r="AJ444" s="86"/>
      <c r="AK444" s="86"/>
    </row>
    <row r="445">
      <c r="AE445" s="86"/>
      <c r="AF445" s="86"/>
      <c r="AG445" s="86"/>
      <c r="AI445" s="86"/>
      <c r="AJ445" s="86"/>
      <c r="AK445" s="86"/>
    </row>
    <row r="446">
      <c r="AE446" s="86"/>
      <c r="AF446" s="86"/>
      <c r="AG446" s="86"/>
      <c r="AI446" s="86"/>
      <c r="AJ446" s="86"/>
      <c r="AK446" s="86"/>
    </row>
    <row r="447">
      <c r="AE447" s="86"/>
      <c r="AF447" s="86"/>
      <c r="AG447" s="86"/>
      <c r="AI447" s="86"/>
      <c r="AJ447" s="86"/>
      <c r="AK447" s="86"/>
    </row>
    <row r="448">
      <c r="AE448" s="86"/>
      <c r="AF448" s="86"/>
      <c r="AG448" s="86"/>
      <c r="AI448" s="86"/>
      <c r="AJ448" s="86"/>
      <c r="AK448" s="86"/>
    </row>
    <row r="449">
      <c r="AE449" s="86"/>
      <c r="AF449" s="86"/>
      <c r="AG449" s="86"/>
      <c r="AI449" s="86"/>
      <c r="AJ449" s="86"/>
      <c r="AK449" s="86"/>
    </row>
    <row r="450">
      <c r="AE450" s="86"/>
      <c r="AF450" s="86"/>
      <c r="AG450" s="86"/>
      <c r="AI450" s="86"/>
      <c r="AJ450" s="86"/>
      <c r="AK450" s="86"/>
    </row>
    <row r="451">
      <c r="AE451" s="86"/>
      <c r="AF451" s="86"/>
      <c r="AG451" s="86"/>
      <c r="AI451" s="86"/>
      <c r="AJ451" s="86"/>
      <c r="AK451" s="86"/>
    </row>
    <row r="452">
      <c r="AE452" s="86"/>
      <c r="AF452" s="86"/>
      <c r="AG452" s="86"/>
      <c r="AI452" s="86"/>
      <c r="AJ452" s="86"/>
      <c r="AK452" s="86"/>
    </row>
    <row r="453">
      <c r="AE453" s="86"/>
      <c r="AF453" s="86"/>
      <c r="AG453" s="86"/>
      <c r="AI453" s="86"/>
      <c r="AJ453" s="86"/>
      <c r="AK453" s="86"/>
    </row>
    <row r="454">
      <c r="AE454" s="86"/>
      <c r="AF454" s="86"/>
      <c r="AG454" s="86"/>
      <c r="AI454" s="86"/>
      <c r="AJ454" s="86"/>
      <c r="AK454" s="86"/>
    </row>
    <row r="455">
      <c r="AE455" s="86"/>
      <c r="AF455" s="86"/>
      <c r="AG455" s="86"/>
      <c r="AI455" s="86"/>
      <c r="AJ455" s="86"/>
      <c r="AK455" s="86"/>
    </row>
    <row r="456">
      <c r="AE456" s="86"/>
      <c r="AF456" s="86"/>
      <c r="AG456" s="86"/>
      <c r="AI456" s="86"/>
      <c r="AJ456" s="86"/>
      <c r="AK456" s="86"/>
    </row>
    <row r="457">
      <c r="AE457" s="86"/>
      <c r="AF457" s="86"/>
      <c r="AG457" s="86"/>
      <c r="AI457" s="86"/>
      <c r="AJ457" s="86"/>
      <c r="AK457" s="86"/>
    </row>
    <row r="458">
      <c r="AE458" s="86"/>
      <c r="AF458" s="86"/>
      <c r="AG458" s="86"/>
      <c r="AI458" s="86"/>
      <c r="AJ458" s="86"/>
      <c r="AK458" s="86"/>
    </row>
    <row r="459">
      <c r="AE459" s="86"/>
      <c r="AF459" s="86"/>
      <c r="AG459" s="86"/>
      <c r="AI459" s="86"/>
      <c r="AJ459" s="86"/>
      <c r="AK459" s="86"/>
    </row>
    <row r="460">
      <c r="AE460" s="86"/>
      <c r="AF460" s="86"/>
      <c r="AG460" s="86"/>
      <c r="AI460" s="86"/>
      <c r="AJ460" s="86"/>
      <c r="AK460" s="86"/>
    </row>
    <row r="461">
      <c r="AE461" s="86"/>
      <c r="AF461" s="86"/>
      <c r="AG461" s="86"/>
      <c r="AI461" s="86"/>
      <c r="AJ461" s="86"/>
      <c r="AK461" s="86"/>
    </row>
    <row r="462">
      <c r="AE462" s="86"/>
      <c r="AF462" s="86"/>
      <c r="AG462" s="86"/>
      <c r="AI462" s="86"/>
      <c r="AJ462" s="86"/>
      <c r="AK462" s="86"/>
    </row>
    <row r="463">
      <c r="AE463" s="86"/>
      <c r="AF463" s="86"/>
      <c r="AG463" s="86"/>
      <c r="AI463" s="86"/>
      <c r="AJ463" s="86"/>
      <c r="AK463" s="86"/>
    </row>
    <row r="464">
      <c r="AE464" s="86"/>
      <c r="AF464" s="86"/>
      <c r="AG464" s="86"/>
      <c r="AI464" s="86"/>
      <c r="AJ464" s="86"/>
      <c r="AK464" s="86"/>
    </row>
    <row r="465">
      <c r="AE465" s="86"/>
      <c r="AF465" s="86"/>
      <c r="AG465" s="86"/>
      <c r="AI465" s="86"/>
      <c r="AJ465" s="86"/>
      <c r="AK465" s="86"/>
    </row>
    <row r="466">
      <c r="AE466" s="86"/>
      <c r="AF466" s="86"/>
      <c r="AG466" s="86"/>
      <c r="AI466" s="86"/>
      <c r="AJ466" s="86"/>
      <c r="AK466" s="86"/>
    </row>
    <row r="467">
      <c r="AE467" s="86"/>
      <c r="AF467" s="86"/>
      <c r="AG467" s="86"/>
      <c r="AI467" s="86"/>
      <c r="AJ467" s="86"/>
      <c r="AK467" s="86"/>
    </row>
    <row r="468">
      <c r="AE468" s="86"/>
      <c r="AF468" s="86"/>
      <c r="AG468" s="86"/>
      <c r="AI468" s="86"/>
      <c r="AJ468" s="86"/>
      <c r="AK468" s="86"/>
    </row>
    <row r="469">
      <c r="AE469" s="86"/>
      <c r="AF469" s="86"/>
      <c r="AG469" s="86"/>
      <c r="AI469" s="86"/>
      <c r="AJ469" s="86"/>
      <c r="AK469" s="86"/>
    </row>
    <row r="470">
      <c r="AE470" s="86"/>
      <c r="AF470" s="86"/>
      <c r="AG470" s="86"/>
      <c r="AI470" s="86"/>
      <c r="AJ470" s="86"/>
      <c r="AK470" s="86"/>
    </row>
    <row r="471">
      <c r="AE471" s="86"/>
      <c r="AF471" s="86"/>
      <c r="AG471" s="86"/>
      <c r="AI471" s="86"/>
      <c r="AJ471" s="86"/>
      <c r="AK471" s="86"/>
    </row>
    <row r="472">
      <c r="AE472" s="86"/>
      <c r="AF472" s="86"/>
      <c r="AG472" s="86"/>
      <c r="AI472" s="86"/>
      <c r="AJ472" s="86"/>
      <c r="AK472" s="86"/>
    </row>
    <row r="473">
      <c r="AE473" s="86"/>
      <c r="AF473" s="86"/>
      <c r="AG473" s="86"/>
      <c r="AI473" s="86"/>
      <c r="AJ473" s="86"/>
      <c r="AK473" s="86"/>
    </row>
    <row r="474">
      <c r="AE474" s="86"/>
      <c r="AF474" s="86"/>
      <c r="AG474" s="86"/>
      <c r="AI474" s="86"/>
      <c r="AJ474" s="86"/>
      <c r="AK474" s="86"/>
    </row>
    <row r="475">
      <c r="AE475" s="86"/>
      <c r="AF475" s="86"/>
      <c r="AG475" s="86"/>
      <c r="AI475" s="86"/>
      <c r="AJ475" s="86"/>
      <c r="AK475" s="86"/>
    </row>
    <row r="476">
      <c r="AE476" s="86"/>
      <c r="AF476" s="86"/>
      <c r="AG476" s="86"/>
      <c r="AI476" s="86"/>
      <c r="AJ476" s="86"/>
      <c r="AK476" s="86"/>
    </row>
    <row r="477">
      <c r="AE477" s="86"/>
      <c r="AF477" s="86"/>
      <c r="AG477" s="86"/>
      <c r="AI477" s="86"/>
      <c r="AJ477" s="86"/>
      <c r="AK477" s="86"/>
    </row>
    <row r="478">
      <c r="AE478" s="86"/>
      <c r="AF478" s="86"/>
      <c r="AG478" s="86"/>
      <c r="AI478" s="86"/>
      <c r="AJ478" s="86"/>
      <c r="AK478" s="86"/>
    </row>
    <row r="479">
      <c r="AE479" s="86"/>
      <c r="AF479" s="86"/>
      <c r="AG479" s="86"/>
      <c r="AI479" s="86"/>
      <c r="AJ479" s="86"/>
      <c r="AK479" s="86"/>
    </row>
    <row r="480">
      <c r="AE480" s="86"/>
      <c r="AF480" s="86"/>
      <c r="AG480" s="86"/>
      <c r="AI480" s="86"/>
      <c r="AJ480" s="86"/>
      <c r="AK480" s="86"/>
    </row>
    <row r="481">
      <c r="AE481" s="86"/>
      <c r="AF481" s="86"/>
      <c r="AG481" s="86"/>
      <c r="AI481" s="86"/>
      <c r="AJ481" s="86"/>
      <c r="AK481" s="86"/>
    </row>
    <row r="482">
      <c r="AE482" s="86"/>
      <c r="AF482" s="86"/>
      <c r="AG482" s="86"/>
      <c r="AI482" s="86"/>
      <c r="AJ482" s="86"/>
      <c r="AK482" s="86"/>
    </row>
    <row r="483">
      <c r="AE483" s="86"/>
      <c r="AF483" s="86"/>
      <c r="AG483" s="86"/>
      <c r="AI483" s="86"/>
      <c r="AJ483" s="86"/>
      <c r="AK483" s="86"/>
    </row>
    <row r="484">
      <c r="AE484" s="86"/>
      <c r="AF484" s="86"/>
      <c r="AG484" s="86"/>
      <c r="AI484" s="86"/>
      <c r="AJ484" s="86"/>
      <c r="AK484" s="86"/>
    </row>
    <row r="485">
      <c r="AE485" s="86"/>
      <c r="AF485" s="86"/>
      <c r="AG485" s="86"/>
      <c r="AI485" s="86"/>
      <c r="AJ485" s="86"/>
      <c r="AK485" s="86"/>
    </row>
    <row r="486">
      <c r="AE486" s="86"/>
      <c r="AF486" s="86"/>
      <c r="AG486" s="86"/>
      <c r="AI486" s="86"/>
      <c r="AJ486" s="86"/>
      <c r="AK486" s="86"/>
    </row>
    <row r="487">
      <c r="AE487" s="86"/>
      <c r="AF487" s="86"/>
      <c r="AG487" s="86"/>
      <c r="AI487" s="86"/>
      <c r="AJ487" s="86"/>
      <c r="AK487" s="86"/>
    </row>
    <row r="488">
      <c r="AE488" s="86"/>
      <c r="AF488" s="86"/>
      <c r="AG488" s="86"/>
      <c r="AI488" s="86"/>
      <c r="AJ488" s="86"/>
      <c r="AK488" s="86"/>
    </row>
    <row r="489">
      <c r="AE489" s="86"/>
      <c r="AF489" s="86"/>
      <c r="AG489" s="86"/>
      <c r="AI489" s="86"/>
      <c r="AJ489" s="86"/>
      <c r="AK489" s="86"/>
    </row>
    <row r="490">
      <c r="AE490" s="86"/>
      <c r="AF490" s="86"/>
      <c r="AG490" s="86"/>
      <c r="AI490" s="86"/>
      <c r="AJ490" s="86"/>
      <c r="AK490" s="86"/>
    </row>
    <row r="491">
      <c r="AE491" s="86"/>
      <c r="AF491" s="86"/>
      <c r="AG491" s="86"/>
      <c r="AI491" s="86"/>
      <c r="AJ491" s="86"/>
      <c r="AK491" s="86"/>
    </row>
    <row r="492">
      <c r="AE492" s="86"/>
      <c r="AF492" s="86"/>
      <c r="AG492" s="86"/>
      <c r="AI492" s="86"/>
      <c r="AJ492" s="86"/>
      <c r="AK492" s="86"/>
    </row>
    <row r="493">
      <c r="AE493" s="86"/>
      <c r="AF493" s="86"/>
      <c r="AG493" s="86"/>
      <c r="AI493" s="86"/>
      <c r="AJ493" s="86"/>
      <c r="AK493" s="86"/>
    </row>
    <row r="494">
      <c r="AE494" s="86"/>
      <c r="AF494" s="86"/>
      <c r="AG494" s="86"/>
      <c r="AI494" s="86"/>
      <c r="AJ494" s="86"/>
      <c r="AK494" s="86"/>
    </row>
    <row r="495">
      <c r="AE495" s="86"/>
      <c r="AF495" s="86"/>
      <c r="AG495" s="86"/>
      <c r="AI495" s="86"/>
      <c r="AJ495" s="86"/>
      <c r="AK495" s="86"/>
    </row>
    <row r="496">
      <c r="AE496" s="86"/>
      <c r="AF496" s="86"/>
      <c r="AG496" s="86"/>
      <c r="AI496" s="86"/>
      <c r="AJ496" s="86"/>
      <c r="AK496" s="86"/>
    </row>
    <row r="497">
      <c r="AE497" s="86"/>
      <c r="AF497" s="86"/>
      <c r="AG497" s="86"/>
      <c r="AI497" s="86"/>
      <c r="AJ497" s="86"/>
      <c r="AK497" s="86"/>
    </row>
    <row r="498">
      <c r="AE498" s="86"/>
      <c r="AF498" s="86"/>
      <c r="AG498" s="86"/>
      <c r="AI498" s="86"/>
      <c r="AJ498" s="86"/>
      <c r="AK498" s="86"/>
    </row>
    <row r="499">
      <c r="AE499" s="86"/>
      <c r="AF499" s="86"/>
      <c r="AG499" s="86"/>
      <c r="AI499" s="86"/>
      <c r="AJ499" s="86"/>
      <c r="AK499" s="86"/>
    </row>
    <row r="500">
      <c r="AE500" s="86"/>
      <c r="AF500" s="86"/>
      <c r="AG500" s="86"/>
      <c r="AI500" s="86"/>
      <c r="AJ500" s="86"/>
      <c r="AK500" s="86"/>
    </row>
    <row r="501">
      <c r="AE501" s="86"/>
      <c r="AF501" s="86"/>
      <c r="AG501" s="86"/>
      <c r="AI501" s="86"/>
      <c r="AJ501" s="86"/>
      <c r="AK501" s="86"/>
    </row>
    <row r="502">
      <c r="AE502" s="86"/>
      <c r="AF502" s="86"/>
      <c r="AG502" s="86"/>
      <c r="AI502" s="86"/>
      <c r="AJ502" s="86"/>
      <c r="AK502" s="86"/>
    </row>
    <row r="503">
      <c r="AE503" s="86"/>
      <c r="AF503" s="86"/>
      <c r="AG503" s="86"/>
      <c r="AI503" s="86"/>
      <c r="AJ503" s="86"/>
      <c r="AK503" s="86"/>
    </row>
    <row r="504">
      <c r="AE504" s="86"/>
      <c r="AF504" s="86"/>
      <c r="AG504" s="86"/>
      <c r="AI504" s="86"/>
      <c r="AJ504" s="86"/>
      <c r="AK504" s="86"/>
    </row>
    <row r="505">
      <c r="AE505" s="86"/>
      <c r="AF505" s="86"/>
      <c r="AG505" s="86"/>
      <c r="AI505" s="86"/>
      <c r="AJ505" s="86"/>
      <c r="AK505" s="86"/>
    </row>
    <row r="506">
      <c r="AE506" s="86"/>
      <c r="AF506" s="86"/>
      <c r="AG506" s="86"/>
      <c r="AI506" s="86"/>
      <c r="AJ506" s="86"/>
      <c r="AK506" s="86"/>
    </row>
    <row r="507">
      <c r="AE507" s="86"/>
      <c r="AF507" s="86"/>
      <c r="AG507" s="86"/>
      <c r="AI507" s="86"/>
      <c r="AJ507" s="86"/>
      <c r="AK507" s="86"/>
    </row>
    <row r="508">
      <c r="AE508" s="86"/>
      <c r="AF508" s="86"/>
      <c r="AG508" s="86"/>
      <c r="AI508" s="86"/>
      <c r="AJ508" s="86"/>
      <c r="AK508" s="86"/>
    </row>
    <row r="509">
      <c r="AE509" s="86"/>
      <c r="AF509" s="86"/>
      <c r="AG509" s="86"/>
      <c r="AI509" s="86"/>
      <c r="AJ509" s="86"/>
      <c r="AK509" s="86"/>
    </row>
    <row r="510">
      <c r="AE510" s="86"/>
      <c r="AF510" s="86"/>
      <c r="AG510" s="86"/>
      <c r="AI510" s="86"/>
      <c r="AJ510" s="86"/>
      <c r="AK510" s="86"/>
    </row>
    <row r="511">
      <c r="AE511" s="86"/>
      <c r="AF511" s="86"/>
      <c r="AG511" s="86"/>
      <c r="AI511" s="86"/>
      <c r="AJ511" s="86"/>
      <c r="AK511" s="86"/>
    </row>
    <row r="512">
      <c r="AE512" s="86"/>
      <c r="AF512" s="86"/>
      <c r="AG512" s="86"/>
      <c r="AI512" s="86"/>
      <c r="AJ512" s="86"/>
      <c r="AK512" s="86"/>
    </row>
    <row r="513">
      <c r="AE513" s="86"/>
      <c r="AF513" s="86"/>
      <c r="AG513" s="86"/>
      <c r="AI513" s="86"/>
      <c r="AJ513" s="86"/>
      <c r="AK513" s="86"/>
    </row>
    <row r="514">
      <c r="AE514" s="86"/>
      <c r="AF514" s="86"/>
      <c r="AG514" s="86"/>
      <c r="AI514" s="86"/>
      <c r="AJ514" s="86"/>
      <c r="AK514" s="86"/>
    </row>
    <row r="515">
      <c r="AE515" s="86"/>
      <c r="AF515" s="86"/>
      <c r="AG515" s="86"/>
      <c r="AI515" s="86"/>
      <c r="AJ515" s="86"/>
      <c r="AK515" s="86"/>
    </row>
    <row r="516">
      <c r="AE516" s="86"/>
      <c r="AF516" s="86"/>
      <c r="AG516" s="86"/>
      <c r="AI516" s="86"/>
      <c r="AJ516" s="86"/>
      <c r="AK516" s="86"/>
    </row>
    <row r="517">
      <c r="AE517" s="86"/>
      <c r="AF517" s="86"/>
      <c r="AG517" s="86"/>
      <c r="AI517" s="86"/>
      <c r="AJ517" s="86"/>
      <c r="AK517" s="86"/>
    </row>
    <row r="518">
      <c r="AE518" s="86"/>
      <c r="AF518" s="86"/>
      <c r="AG518" s="86"/>
      <c r="AI518" s="86"/>
      <c r="AJ518" s="86"/>
      <c r="AK518" s="86"/>
    </row>
    <row r="519">
      <c r="AE519" s="86"/>
      <c r="AF519" s="86"/>
      <c r="AG519" s="86"/>
      <c r="AI519" s="86"/>
      <c r="AJ519" s="86"/>
      <c r="AK519" s="86"/>
    </row>
    <row r="520">
      <c r="AE520" s="86"/>
      <c r="AF520" s="86"/>
      <c r="AG520" s="86"/>
      <c r="AI520" s="86"/>
      <c r="AJ520" s="86"/>
      <c r="AK520" s="86"/>
    </row>
    <row r="521">
      <c r="AE521" s="86"/>
      <c r="AF521" s="86"/>
      <c r="AG521" s="86"/>
      <c r="AI521" s="86"/>
      <c r="AJ521" s="86"/>
      <c r="AK521" s="86"/>
    </row>
    <row r="522">
      <c r="AE522" s="86"/>
      <c r="AF522" s="86"/>
      <c r="AG522" s="86"/>
      <c r="AI522" s="86"/>
      <c r="AJ522" s="86"/>
      <c r="AK522" s="86"/>
    </row>
    <row r="523">
      <c r="AE523" s="86"/>
      <c r="AF523" s="86"/>
      <c r="AG523" s="86"/>
      <c r="AI523" s="86"/>
      <c r="AJ523" s="86"/>
      <c r="AK523" s="86"/>
    </row>
    <row r="524">
      <c r="AE524" s="86"/>
      <c r="AF524" s="86"/>
      <c r="AG524" s="86"/>
      <c r="AI524" s="86"/>
      <c r="AJ524" s="86"/>
      <c r="AK524" s="86"/>
    </row>
    <row r="525">
      <c r="AE525" s="86"/>
      <c r="AF525" s="86"/>
      <c r="AG525" s="86"/>
      <c r="AI525" s="86"/>
      <c r="AJ525" s="86"/>
      <c r="AK525" s="86"/>
    </row>
    <row r="526">
      <c r="AE526" s="86"/>
      <c r="AF526" s="86"/>
      <c r="AG526" s="86"/>
      <c r="AI526" s="86"/>
      <c r="AJ526" s="86"/>
      <c r="AK526" s="86"/>
    </row>
    <row r="527">
      <c r="AE527" s="86"/>
      <c r="AF527" s="86"/>
      <c r="AG527" s="86"/>
      <c r="AI527" s="86"/>
      <c r="AJ527" s="86"/>
      <c r="AK527" s="86"/>
    </row>
    <row r="528">
      <c r="AE528" s="86"/>
      <c r="AF528" s="86"/>
      <c r="AG528" s="86"/>
      <c r="AI528" s="86"/>
      <c r="AJ528" s="86"/>
      <c r="AK528" s="86"/>
    </row>
    <row r="529">
      <c r="AE529" s="86"/>
      <c r="AF529" s="86"/>
      <c r="AG529" s="86"/>
      <c r="AI529" s="86"/>
      <c r="AJ529" s="86"/>
      <c r="AK529" s="86"/>
    </row>
    <row r="530">
      <c r="AE530" s="86"/>
      <c r="AF530" s="86"/>
      <c r="AG530" s="86"/>
      <c r="AI530" s="86"/>
      <c r="AJ530" s="86"/>
      <c r="AK530" s="86"/>
    </row>
    <row r="531">
      <c r="AE531" s="86"/>
      <c r="AF531" s="86"/>
      <c r="AG531" s="86"/>
      <c r="AI531" s="86"/>
      <c r="AJ531" s="86"/>
      <c r="AK531" s="86"/>
    </row>
    <row r="532">
      <c r="AE532" s="86"/>
      <c r="AF532" s="86"/>
      <c r="AG532" s="86"/>
      <c r="AI532" s="86"/>
      <c r="AJ532" s="86"/>
      <c r="AK532" s="86"/>
    </row>
    <row r="533">
      <c r="AE533" s="86"/>
      <c r="AF533" s="86"/>
      <c r="AG533" s="86"/>
      <c r="AI533" s="86"/>
      <c r="AJ533" s="86"/>
      <c r="AK533" s="86"/>
    </row>
    <row r="534">
      <c r="AE534" s="86"/>
      <c r="AF534" s="86"/>
      <c r="AG534" s="86"/>
      <c r="AI534" s="86"/>
      <c r="AJ534" s="86"/>
      <c r="AK534" s="86"/>
    </row>
    <row r="535">
      <c r="AE535" s="86"/>
      <c r="AF535" s="86"/>
      <c r="AG535" s="86"/>
      <c r="AI535" s="86"/>
      <c r="AJ535" s="86"/>
      <c r="AK535" s="86"/>
    </row>
    <row r="536">
      <c r="AE536" s="86"/>
      <c r="AF536" s="86"/>
      <c r="AG536" s="86"/>
      <c r="AI536" s="86"/>
      <c r="AJ536" s="86"/>
      <c r="AK536" s="86"/>
    </row>
    <row r="537">
      <c r="AE537" s="86"/>
      <c r="AF537" s="86"/>
      <c r="AG537" s="86"/>
      <c r="AI537" s="86"/>
      <c r="AJ537" s="86"/>
      <c r="AK537" s="86"/>
    </row>
    <row r="538">
      <c r="AE538" s="86"/>
      <c r="AF538" s="86"/>
      <c r="AG538" s="86"/>
      <c r="AI538" s="86"/>
      <c r="AJ538" s="86"/>
      <c r="AK538" s="86"/>
    </row>
    <row r="539">
      <c r="AE539" s="86"/>
      <c r="AF539" s="86"/>
      <c r="AG539" s="86"/>
      <c r="AI539" s="86"/>
      <c r="AJ539" s="86"/>
      <c r="AK539" s="86"/>
    </row>
    <row r="540">
      <c r="AE540" s="86"/>
      <c r="AF540" s="86"/>
      <c r="AG540" s="86"/>
      <c r="AI540" s="86"/>
      <c r="AJ540" s="86"/>
      <c r="AK540" s="86"/>
    </row>
    <row r="541">
      <c r="AE541" s="86"/>
      <c r="AF541" s="86"/>
      <c r="AG541" s="86"/>
      <c r="AI541" s="86"/>
      <c r="AJ541" s="86"/>
      <c r="AK541" s="86"/>
    </row>
    <row r="542">
      <c r="AE542" s="86"/>
      <c r="AF542" s="86"/>
      <c r="AG542" s="86"/>
      <c r="AI542" s="86"/>
      <c r="AJ542" s="86"/>
      <c r="AK542" s="86"/>
    </row>
    <row r="543">
      <c r="AE543" s="86"/>
      <c r="AF543" s="86"/>
      <c r="AG543" s="86"/>
      <c r="AI543" s="86"/>
      <c r="AJ543" s="86"/>
      <c r="AK543" s="86"/>
    </row>
    <row r="544">
      <c r="AE544" s="86"/>
      <c r="AF544" s="86"/>
      <c r="AG544" s="86"/>
      <c r="AI544" s="86"/>
      <c r="AJ544" s="86"/>
      <c r="AK544" s="86"/>
    </row>
    <row r="545">
      <c r="AE545" s="86"/>
      <c r="AF545" s="86"/>
      <c r="AG545" s="86"/>
      <c r="AI545" s="86"/>
      <c r="AJ545" s="86"/>
      <c r="AK545" s="86"/>
    </row>
    <row r="546">
      <c r="AE546" s="86"/>
      <c r="AF546" s="86"/>
      <c r="AG546" s="86"/>
      <c r="AI546" s="86"/>
      <c r="AJ546" s="86"/>
      <c r="AK546" s="86"/>
    </row>
    <row r="547">
      <c r="AE547" s="86"/>
      <c r="AF547" s="86"/>
      <c r="AG547" s="86"/>
      <c r="AI547" s="86"/>
      <c r="AJ547" s="86"/>
      <c r="AK547" s="86"/>
    </row>
    <row r="548">
      <c r="AE548" s="86"/>
      <c r="AF548" s="86"/>
      <c r="AG548" s="86"/>
      <c r="AI548" s="86"/>
      <c r="AJ548" s="86"/>
      <c r="AK548" s="86"/>
    </row>
    <row r="549">
      <c r="AE549" s="86"/>
      <c r="AF549" s="86"/>
      <c r="AG549" s="86"/>
      <c r="AI549" s="86"/>
      <c r="AJ549" s="86"/>
      <c r="AK549" s="86"/>
    </row>
    <row r="550">
      <c r="AE550" s="86"/>
      <c r="AF550" s="86"/>
      <c r="AG550" s="86"/>
      <c r="AI550" s="86"/>
      <c r="AJ550" s="86"/>
      <c r="AK550" s="86"/>
    </row>
    <row r="551">
      <c r="AE551" s="86"/>
      <c r="AF551" s="86"/>
      <c r="AG551" s="86"/>
      <c r="AI551" s="86"/>
      <c r="AJ551" s="86"/>
      <c r="AK551" s="86"/>
    </row>
    <row r="552">
      <c r="AE552" s="86"/>
      <c r="AF552" s="86"/>
      <c r="AG552" s="86"/>
      <c r="AI552" s="86"/>
      <c r="AJ552" s="86"/>
      <c r="AK552" s="86"/>
    </row>
    <row r="553">
      <c r="AE553" s="86"/>
      <c r="AF553" s="86"/>
      <c r="AG553" s="86"/>
      <c r="AI553" s="86"/>
      <c r="AJ553" s="86"/>
      <c r="AK553" s="86"/>
    </row>
    <row r="554">
      <c r="AE554" s="86"/>
      <c r="AF554" s="86"/>
      <c r="AG554" s="86"/>
      <c r="AI554" s="86"/>
      <c r="AJ554" s="86"/>
      <c r="AK554" s="86"/>
    </row>
    <row r="555">
      <c r="AE555" s="86"/>
      <c r="AF555" s="86"/>
      <c r="AG555" s="86"/>
      <c r="AI555" s="86"/>
      <c r="AJ555" s="86"/>
      <c r="AK555" s="86"/>
    </row>
    <row r="556">
      <c r="AE556" s="86"/>
      <c r="AF556" s="86"/>
      <c r="AG556" s="86"/>
      <c r="AI556" s="86"/>
      <c r="AJ556" s="86"/>
      <c r="AK556" s="86"/>
    </row>
    <row r="557">
      <c r="AE557" s="86"/>
      <c r="AF557" s="86"/>
      <c r="AG557" s="86"/>
      <c r="AI557" s="86"/>
      <c r="AJ557" s="86"/>
      <c r="AK557" s="86"/>
    </row>
    <row r="558">
      <c r="AE558" s="86"/>
      <c r="AF558" s="86"/>
      <c r="AG558" s="86"/>
      <c r="AI558" s="86"/>
      <c r="AJ558" s="86"/>
      <c r="AK558" s="86"/>
    </row>
    <row r="559">
      <c r="AE559" s="86"/>
      <c r="AF559" s="86"/>
      <c r="AG559" s="86"/>
      <c r="AI559" s="86"/>
      <c r="AJ559" s="86"/>
      <c r="AK559" s="86"/>
    </row>
    <row r="560">
      <c r="AE560" s="86"/>
      <c r="AF560" s="86"/>
      <c r="AG560" s="86"/>
      <c r="AI560" s="86"/>
      <c r="AJ560" s="86"/>
      <c r="AK560" s="86"/>
    </row>
    <row r="561">
      <c r="AE561" s="86"/>
      <c r="AF561" s="86"/>
      <c r="AG561" s="86"/>
      <c r="AI561" s="86"/>
      <c r="AJ561" s="86"/>
      <c r="AK561" s="86"/>
    </row>
    <row r="562">
      <c r="AE562" s="86"/>
      <c r="AF562" s="86"/>
      <c r="AG562" s="86"/>
      <c r="AI562" s="86"/>
      <c r="AJ562" s="86"/>
      <c r="AK562" s="86"/>
    </row>
    <row r="563">
      <c r="AE563" s="86"/>
      <c r="AF563" s="86"/>
      <c r="AG563" s="86"/>
      <c r="AI563" s="86"/>
      <c r="AJ563" s="86"/>
      <c r="AK563" s="86"/>
    </row>
    <row r="564">
      <c r="AE564" s="86"/>
      <c r="AF564" s="86"/>
      <c r="AG564" s="86"/>
      <c r="AI564" s="86"/>
      <c r="AJ564" s="86"/>
      <c r="AK564" s="86"/>
    </row>
    <row r="565">
      <c r="AE565" s="86"/>
      <c r="AF565" s="86"/>
      <c r="AG565" s="86"/>
      <c r="AI565" s="86"/>
      <c r="AJ565" s="86"/>
      <c r="AK565" s="86"/>
    </row>
    <row r="566">
      <c r="AE566" s="86"/>
      <c r="AF566" s="86"/>
      <c r="AG566" s="86"/>
      <c r="AI566" s="86"/>
      <c r="AJ566" s="86"/>
      <c r="AK566" s="86"/>
    </row>
    <row r="567">
      <c r="AE567" s="86"/>
      <c r="AF567" s="86"/>
      <c r="AG567" s="86"/>
      <c r="AI567" s="86"/>
      <c r="AJ567" s="86"/>
      <c r="AK567" s="86"/>
    </row>
    <row r="568">
      <c r="AE568" s="86"/>
      <c r="AF568" s="86"/>
      <c r="AG568" s="86"/>
      <c r="AI568" s="86"/>
      <c r="AJ568" s="86"/>
      <c r="AK568" s="86"/>
    </row>
    <row r="569">
      <c r="AE569" s="86"/>
      <c r="AF569" s="86"/>
      <c r="AG569" s="86"/>
      <c r="AI569" s="86"/>
      <c r="AJ569" s="86"/>
      <c r="AK569" s="86"/>
    </row>
    <row r="570">
      <c r="AE570" s="86"/>
      <c r="AF570" s="86"/>
      <c r="AG570" s="86"/>
      <c r="AI570" s="86"/>
      <c r="AJ570" s="86"/>
      <c r="AK570" s="86"/>
    </row>
    <row r="571">
      <c r="AE571" s="86"/>
      <c r="AF571" s="86"/>
      <c r="AG571" s="86"/>
      <c r="AI571" s="86"/>
      <c r="AJ571" s="86"/>
      <c r="AK571" s="86"/>
    </row>
    <row r="572">
      <c r="AE572" s="86"/>
      <c r="AF572" s="86"/>
      <c r="AG572" s="86"/>
      <c r="AI572" s="86"/>
      <c r="AJ572" s="86"/>
      <c r="AK572" s="86"/>
    </row>
    <row r="573">
      <c r="AE573" s="86"/>
      <c r="AF573" s="86"/>
      <c r="AG573" s="86"/>
      <c r="AI573" s="86"/>
      <c r="AJ573" s="86"/>
      <c r="AK573" s="86"/>
    </row>
    <row r="574">
      <c r="AE574" s="86"/>
      <c r="AF574" s="86"/>
      <c r="AG574" s="86"/>
      <c r="AI574" s="86"/>
      <c r="AJ574" s="86"/>
      <c r="AK574" s="86"/>
    </row>
    <row r="575">
      <c r="AE575" s="86"/>
      <c r="AF575" s="86"/>
      <c r="AG575" s="86"/>
      <c r="AI575" s="86"/>
      <c r="AJ575" s="86"/>
      <c r="AK575" s="86"/>
    </row>
    <row r="576">
      <c r="AE576" s="86"/>
      <c r="AF576" s="86"/>
      <c r="AG576" s="86"/>
      <c r="AI576" s="86"/>
      <c r="AJ576" s="86"/>
      <c r="AK576" s="86"/>
    </row>
    <row r="577">
      <c r="AE577" s="86"/>
      <c r="AF577" s="86"/>
      <c r="AG577" s="86"/>
      <c r="AI577" s="86"/>
      <c r="AJ577" s="86"/>
      <c r="AK577" s="86"/>
    </row>
    <row r="578">
      <c r="AE578" s="86"/>
      <c r="AF578" s="86"/>
      <c r="AG578" s="86"/>
      <c r="AI578" s="86"/>
      <c r="AJ578" s="86"/>
      <c r="AK578" s="86"/>
    </row>
    <row r="579">
      <c r="AE579" s="86"/>
      <c r="AF579" s="86"/>
      <c r="AG579" s="86"/>
      <c r="AI579" s="86"/>
      <c r="AJ579" s="86"/>
      <c r="AK579" s="86"/>
    </row>
    <row r="580">
      <c r="AE580" s="86"/>
      <c r="AF580" s="86"/>
      <c r="AG580" s="86"/>
      <c r="AI580" s="86"/>
      <c r="AJ580" s="86"/>
      <c r="AK580" s="86"/>
    </row>
    <row r="581">
      <c r="AE581" s="86"/>
      <c r="AF581" s="86"/>
      <c r="AG581" s="86"/>
      <c r="AI581" s="86"/>
      <c r="AJ581" s="86"/>
      <c r="AK581" s="86"/>
    </row>
    <row r="582">
      <c r="AE582" s="86"/>
      <c r="AF582" s="86"/>
      <c r="AG582" s="86"/>
      <c r="AI582" s="86"/>
      <c r="AJ582" s="86"/>
      <c r="AK582" s="86"/>
    </row>
    <row r="583">
      <c r="AE583" s="86"/>
      <c r="AF583" s="86"/>
      <c r="AG583" s="86"/>
      <c r="AI583" s="86"/>
      <c r="AJ583" s="86"/>
      <c r="AK583" s="86"/>
    </row>
    <row r="584">
      <c r="AE584" s="86"/>
      <c r="AF584" s="86"/>
      <c r="AG584" s="86"/>
      <c r="AI584" s="86"/>
      <c r="AJ584" s="86"/>
      <c r="AK584" s="86"/>
    </row>
    <row r="585">
      <c r="AE585" s="86"/>
      <c r="AF585" s="86"/>
      <c r="AG585" s="86"/>
      <c r="AI585" s="86"/>
      <c r="AJ585" s="86"/>
      <c r="AK585" s="86"/>
    </row>
    <row r="586">
      <c r="AE586" s="86"/>
      <c r="AF586" s="86"/>
      <c r="AG586" s="86"/>
      <c r="AI586" s="86"/>
      <c r="AJ586" s="86"/>
      <c r="AK586" s="86"/>
    </row>
    <row r="587">
      <c r="AE587" s="86"/>
      <c r="AF587" s="86"/>
      <c r="AG587" s="86"/>
      <c r="AI587" s="86"/>
      <c r="AJ587" s="86"/>
      <c r="AK587" s="86"/>
    </row>
    <row r="588">
      <c r="AE588" s="86"/>
      <c r="AF588" s="86"/>
      <c r="AG588" s="86"/>
      <c r="AI588" s="86"/>
      <c r="AJ588" s="86"/>
      <c r="AK588" s="86"/>
    </row>
    <row r="589">
      <c r="AE589" s="86"/>
      <c r="AF589" s="86"/>
      <c r="AG589" s="86"/>
      <c r="AI589" s="86"/>
      <c r="AJ589" s="86"/>
      <c r="AK589" s="86"/>
    </row>
    <row r="590">
      <c r="AE590" s="86"/>
      <c r="AF590" s="86"/>
      <c r="AG590" s="86"/>
      <c r="AI590" s="86"/>
      <c r="AJ590" s="86"/>
      <c r="AK590" s="86"/>
    </row>
    <row r="591">
      <c r="AE591" s="86"/>
      <c r="AF591" s="86"/>
      <c r="AG591" s="86"/>
      <c r="AI591" s="86"/>
      <c r="AJ591" s="86"/>
      <c r="AK591" s="86"/>
    </row>
    <row r="592">
      <c r="AE592" s="86"/>
      <c r="AF592" s="86"/>
      <c r="AG592" s="86"/>
      <c r="AI592" s="86"/>
      <c r="AJ592" s="86"/>
      <c r="AK592" s="86"/>
    </row>
    <row r="593">
      <c r="AE593" s="86"/>
      <c r="AF593" s="86"/>
      <c r="AG593" s="86"/>
      <c r="AI593" s="86"/>
      <c r="AJ593" s="86"/>
      <c r="AK593" s="86"/>
    </row>
    <row r="594">
      <c r="AE594" s="86"/>
      <c r="AF594" s="86"/>
      <c r="AG594" s="86"/>
      <c r="AI594" s="86"/>
      <c r="AJ594" s="86"/>
      <c r="AK594" s="86"/>
    </row>
    <row r="595">
      <c r="AE595" s="86"/>
      <c r="AF595" s="86"/>
      <c r="AG595" s="86"/>
      <c r="AI595" s="86"/>
      <c r="AJ595" s="86"/>
      <c r="AK595" s="86"/>
    </row>
    <row r="596">
      <c r="AE596" s="86"/>
      <c r="AF596" s="86"/>
      <c r="AG596" s="86"/>
      <c r="AI596" s="86"/>
      <c r="AJ596" s="86"/>
      <c r="AK596" s="86"/>
    </row>
    <row r="597">
      <c r="AE597" s="86"/>
      <c r="AF597" s="86"/>
      <c r="AG597" s="86"/>
      <c r="AI597" s="86"/>
      <c r="AJ597" s="86"/>
      <c r="AK597" s="86"/>
    </row>
    <row r="598">
      <c r="AE598" s="86"/>
      <c r="AF598" s="86"/>
      <c r="AG598" s="86"/>
      <c r="AI598" s="86"/>
      <c r="AJ598" s="86"/>
      <c r="AK598" s="86"/>
    </row>
    <row r="599">
      <c r="AE599" s="86"/>
      <c r="AF599" s="86"/>
      <c r="AG599" s="86"/>
      <c r="AI599" s="86"/>
      <c r="AJ599" s="86"/>
      <c r="AK599" s="86"/>
    </row>
    <row r="600">
      <c r="AE600" s="86"/>
      <c r="AF600" s="86"/>
      <c r="AG600" s="86"/>
      <c r="AI600" s="86"/>
      <c r="AJ600" s="86"/>
      <c r="AK600" s="86"/>
    </row>
    <row r="601">
      <c r="AE601" s="86"/>
      <c r="AF601" s="86"/>
      <c r="AG601" s="86"/>
      <c r="AI601" s="86"/>
      <c r="AJ601" s="86"/>
      <c r="AK601" s="86"/>
    </row>
    <row r="602">
      <c r="AE602" s="86"/>
      <c r="AF602" s="86"/>
      <c r="AG602" s="86"/>
      <c r="AI602" s="86"/>
      <c r="AJ602" s="86"/>
      <c r="AK602" s="86"/>
    </row>
    <row r="603">
      <c r="AE603" s="86"/>
      <c r="AF603" s="86"/>
      <c r="AG603" s="86"/>
      <c r="AI603" s="86"/>
      <c r="AJ603" s="86"/>
      <c r="AK603" s="86"/>
    </row>
    <row r="604">
      <c r="AE604" s="86"/>
      <c r="AF604" s="86"/>
      <c r="AG604" s="86"/>
      <c r="AI604" s="86"/>
      <c r="AJ604" s="86"/>
      <c r="AK604" s="86"/>
    </row>
    <row r="605">
      <c r="AE605" s="86"/>
      <c r="AF605" s="86"/>
      <c r="AG605" s="86"/>
      <c r="AI605" s="86"/>
      <c r="AJ605" s="86"/>
      <c r="AK605" s="86"/>
    </row>
    <row r="606">
      <c r="AE606" s="86"/>
      <c r="AF606" s="86"/>
      <c r="AG606" s="86"/>
      <c r="AI606" s="86"/>
      <c r="AJ606" s="86"/>
      <c r="AK606" s="86"/>
    </row>
    <row r="607">
      <c r="AE607" s="86"/>
      <c r="AF607" s="86"/>
      <c r="AG607" s="86"/>
      <c r="AI607" s="86"/>
      <c r="AJ607" s="86"/>
      <c r="AK607" s="86"/>
    </row>
    <row r="608">
      <c r="AE608" s="86"/>
      <c r="AF608" s="86"/>
      <c r="AG608" s="86"/>
      <c r="AI608" s="86"/>
      <c r="AJ608" s="86"/>
      <c r="AK608" s="86"/>
    </row>
    <row r="609">
      <c r="AE609" s="86"/>
      <c r="AF609" s="86"/>
      <c r="AG609" s="86"/>
      <c r="AI609" s="86"/>
      <c r="AJ609" s="86"/>
      <c r="AK609" s="86"/>
    </row>
    <row r="610">
      <c r="AE610" s="86"/>
      <c r="AF610" s="86"/>
      <c r="AG610" s="86"/>
      <c r="AI610" s="86"/>
      <c r="AJ610" s="86"/>
      <c r="AK610" s="86"/>
    </row>
    <row r="611">
      <c r="AE611" s="86"/>
      <c r="AF611" s="86"/>
      <c r="AG611" s="86"/>
      <c r="AI611" s="86"/>
      <c r="AJ611" s="86"/>
      <c r="AK611" s="86"/>
    </row>
    <row r="612">
      <c r="AE612" s="86"/>
      <c r="AF612" s="86"/>
      <c r="AG612" s="86"/>
      <c r="AI612" s="86"/>
      <c r="AJ612" s="86"/>
      <c r="AK612" s="86"/>
    </row>
    <row r="613">
      <c r="AE613" s="86"/>
      <c r="AF613" s="86"/>
      <c r="AG613" s="86"/>
      <c r="AI613" s="86"/>
      <c r="AJ613" s="86"/>
      <c r="AK613" s="86"/>
    </row>
    <row r="614">
      <c r="AE614" s="86"/>
      <c r="AF614" s="86"/>
      <c r="AG614" s="86"/>
      <c r="AI614" s="86"/>
      <c r="AJ614" s="86"/>
      <c r="AK614" s="86"/>
    </row>
    <row r="615">
      <c r="AE615" s="86"/>
      <c r="AF615" s="86"/>
      <c r="AG615" s="86"/>
      <c r="AI615" s="86"/>
      <c r="AJ615" s="86"/>
      <c r="AK615" s="86"/>
    </row>
    <row r="616">
      <c r="AE616" s="86"/>
      <c r="AF616" s="86"/>
      <c r="AG616" s="86"/>
      <c r="AI616" s="86"/>
      <c r="AJ616" s="86"/>
      <c r="AK616" s="86"/>
    </row>
    <row r="617">
      <c r="AE617" s="86"/>
      <c r="AF617" s="86"/>
      <c r="AG617" s="86"/>
      <c r="AI617" s="86"/>
      <c r="AJ617" s="86"/>
      <c r="AK617" s="86"/>
    </row>
    <row r="618">
      <c r="AE618" s="86"/>
      <c r="AF618" s="86"/>
      <c r="AG618" s="86"/>
      <c r="AI618" s="86"/>
      <c r="AJ618" s="86"/>
      <c r="AK618" s="86"/>
    </row>
    <row r="619">
      <c r="AE619" s="86"/>
      <c r="AF619" s="86"/>
      <c r="AG619" s="86"/>
      <c r="AI619" s="86"/>
      <c r="AJ619" s="86"/>
      <c r="AK619" s="86"/>
    </row>
    <row r="620">
      <c r="AE620" s="86"/>
      <c r="AF620" s="86"/>
      <c r="AG620" s="86"/>
      <c r="AI620" s="86"/>
      <c r="AJ620" s="86"/>
      <c r="AK620" s="86"/>
    </row>
    <row r="621">
      <c r="AE621" s="86"/>
      <c r="AF621" s="86"/>
      <c r="AG621" s="86"/>
      <c r="AI621" s="86"/>
      <c r="AJ621" s="86"/>
      <c r="AK621" s="86"/>
    </row>
    <row r="622">
      <c r="AE622" s="86"/>
      <c r="AF622" s="86"/>
      <c r="AG622" s="86"/>
      <c r="AI622" s="86"/>
      <c r="AJ622" s="86"/>
      <c r="AK622" s="86"/>
    </row>
    <row r="623">
      <c r="AE623" s="86"/>
      <c r="AF623" s="86"/>
      <c r="AG623" s="86"/>
      <c r="AI623" s="86"/>
      <c r="AJ623" s="86"/>
      <c r="AK623" s="86"/>
    </row>
    <row r="624">
      <c r="AE624" s="86"/>
      <c r="AF624" s="86"/>
      <c r="AG624" s="86"/>
      <c r="AI624" s="86"/>
      <c r="AJ624" s="86"/>
      <c r="AK624" s="86"/>
    </row>
    <row r="625">
      <c r="AE625" s="86"/>
      <c r="AF625" s="86"/>
      <c r="AG625" s="86"/>
      <c r="AI625" s="86"/>
      <c r="AJ625" s="86"/>
      <c r="AK625" s="86"/>
    </row>
    <row r="626">
      <c r="AE626" s="86"/>
      <c r="AF626" s="86"/>
      <c r="AG626" s="86"/>
      <c r="AI626" s="86"/>
      <c r="AJ626" s="86"/>
      <c r="AK626" s="86"/>
    </row>
    <row r="627">
      <c r="AE627" s="86"/>
      <c r="AF627" s="86"/>
      <c r="AG627" s="86"/>
      <c r="AI627" s="86"/>
      <c r="AJ627" s="86"/>
      <c r="AK627" s="86"/>
    </row>
    <row r="628">
      <c r="AE628" s="86"/>
      <c r="AF628" s="86"/>
      <c r="AG628" s="86"/>
      <c r="AI628" s="86"/>
      <c r="AJ628" s="86"/>
      <c r="AK628" s="86"/>
    </row>
    <row r="629">
      <c r="AE629" s="86"/>
      <c r="AF629" s="86"/>
      <c r="AG629" s="86"/>
      <c r="AI629" s="86"/>
      <c r="AJ629" s="86"/>
      <c r="AK629" s="86"/>
    </row>
    <row r="630">
      <c r="AE630" s="86"/>
      <c r="AF630" s="86"/>
      <c r="AG630" s="86"/>
      <c r="AI630" s="86"/>
      <c r="AJ630" s="86"/>
      <c r="AK630" s="86"/>
    </row>
    <row r="631">
      <c r="AE631" s="86"/>
      <c r="AF631" s="86"/>
      <c r="AG631" s="86"/>
      <c r="AI631" s="86"/>
      <c r="AJ631" s="86"/>
      <c r="AK631" s="86"/>
    </row>
    <row r="632">
      <c r="AE632" s="86"/>
      <c r="AF632" s="86"/>
      <c r="AG632" s="86"/>
      <c r="AI632" s="86"/>
      <c r="AJ632" s="86"/>
      <c r="AK632" s="86"/>
    </row>
    <row r="633">
      <c r="AE633" s="86"/>
      <c r="AF633" s="86"/>
      <c r="AG633" s="86"/>
      <c r="AI633" s="86"/>
      <c r="AJ633" s="86"/>
      <c r="AK633" s="86"/>
    </row>
    <row r="634">
      <c r="AE634" s="86"/>
      <c r="AF634" s="86"/>
      <c r="AG634" s="86"/>
      <c r="AI634" s="86"/>
      <c r="AJ634" s="86"/>
      <c r="AK634" s="86"/>
    </row>
    <row r="635">
      <c r="AE635" s="86"/>
      <c r="AF635" s="86"/>
      <c r="AG635" s="86"/>
      <c r="AI635" s="86"/>
      <c r="AJ635" s="86"/>
      <c r="AK635" s="86"/>
    </row>
    <row r="636">
      <c r="AE636" s="86"/>
      <c r="AF636" s="86"/>
      <c r="AG636" s="86"/>
      <c r="AI636" s="86"/>
      <c r="AJ636" s="86"/>
      <c r="AK636" s="86"/>
    </row>
    <row r="637">
      <c r="AE637" s="86"/>
      <c r="AF637" s="86"/>
      <c r="AG637" s="86"/>
      <c r="AI637" s="86"/>
      <c r="AJ637" s="86"/>
      <c r="AK637" s="86"/>
    </row>
    <row r="638">
      <c r="AE638" s="86"/>
      <c r="AF638" s="86"/>
      <c r="AG638" s="86"/>
      <c r="AI638" s="86"/>
      <c r="AJ638" s="86"/>
      <c r="AK638" s="86"/>
    </row>
    <row r="639">
      <c r="AE639" s="86"/>
      <c r="AF639" s="86"/>
      <c r="AG639" s="86"/>
      <c r="AI639" s="86"/>
      <c r="AJ639" s="86"/>
      <c r="AK639" s="86"/>
    </row>
    <row r="640">
      <c r="AE640" s="86"/>
      <c r="AF640" s="86"/>
      <c r="AG640" s="86"/>
      <c r="AI640" s="86"/>
      <c r="AJ640" s="86"/>
      <c r="AK640" s="86"/>
    </row>
    <row r="641">
      <c r="AE641" s="86"/>
      <c r="AF641" s="86"/>
      <c r="AG641" s="86"/>
      <c r="AI641" s="86"/>
      <c r="AJ641" s="86"/>
      <c r="AK641" s="86"/>
    </row>
    <row r="642">
      <c r="AE642" s="86"/>
      <c r="AF642" s="86"/>
      <c r="AG642" s="86"/>
      <c r="AI642" s="86"/>
      <c r="AJ642" s="86"/>
      <c r="AK642" s="86"/>
    </row>
    <row r="643">
      <c r="AE643" s="86"/>
      <c r="AF643" s="86"/>
      <c r="AG643" s="86"/>
      <c r="AI643" s="86"/>
      <c r="AJ643" s="86"/>
      <c r="AK643" s="86"/>
    </row>
    <row r="644">
      <c r="AE644" s="86"/>
      <c r="AF644" s="86"/>
      <c r="AG644" s="86"/>
      <c r="AI644" s="86"/>
      <c r="AJ644" s="86"/>
      <c r="AK644" s="86"/>
    </row>
    <row r="645">
      <c r="AE645" s="86"/>
      <c r="AF645" s="86"/>
      <c r="AG645" s="86"/>
      <c r="AI645" s="86"/>
      <c r="AJ645" s="86"/>
      <c r="AK645" s="86"/>
    </row>
    <row r="646">
      <c r="AE646" s="86"/>
      <c r="AF646" s="86"/>
      <c r="AG646" s="86"/>
      <c r="AI646" s="86"/>
      <c r="AJ646" s="86"/>
      <c r="AK646" s="86"/>
    </row>
    <row r="647">
      <c r="AE647" s="86"/>
      <c r="AF647" s="86"/>
      <c r="AG647" s="86"/>
      <c r="AI647" s="86"/>
      <c r="AJ647" s="86"/>
      <c r="AK647" s="86"/>
    </row>
    <row r="648">
      <c r="AE648" s="86"/>
      <c r="AF648" s="86"/>
      <c r="AG648" s="86"/>
      <c r="AI648" s="86"/>
      <c r="AJ648" s="86"/>
      <c r="AK648" s="86"/>
    </row>
    <row r="649">
      <c r="AE649" s="86"/>
      <c r="AF649" s="86"/>
      <c r="AG649" s="86"/>
      <c r="AI649" s="86"/>
      <c r="AJ649" s="86"/>
      <c r="AK649" s="86"/>
    </row>
    <row r="650">
      <c r="AE650" s="86"/>
      <c r="AF650" s="86"/>
      <c r="AG650" s="86"/>
      <c r="AI650" s="86"/>
      <c r="AJ650" s="86"/>
      <c r="AK650" s="86"/>
    </row>
    <row r="651">
      <c r="AE651" s="86"/>
      <c r="AF651" s="86"/>
      <c r="AG651" s="86"/>
      <c r="AI651" s="86"/>
      <c r="AJ651" s="86"/>
      <c r="AK651" s="86"/>
    </row>
    <row r="652">
      <c r="AE652" s="86"/>
      <c r="AF652" s="86"/>
      <c r="AG652" s="86"/>
      <c r="AI652" s="86"/>
      <c r="AJ652" s="86"/>
      <c r="AK652" s="86"/>
    </row>
    <row r="653">
      <c r="AE653" s="86"/>
      <c r="AF653" s="86"/>
      <c r="AG653" s="86"/>
      <c r="AI653" s="86"/>
      <c r="AJ653" s="86"/>
      <c r="AK653" s="86"/>
    </row>
    <row r="654">
      <c r="AE654" s="86"/>
      <c r="AF654" s="86"/>
      <c r="AG654" s="86"/>
      <c r="AI654" s="86"/>
      <c r="AJ654" s="86"/>
      <c r="AK654" s="86"/>
    </row>
    <row r="655">
      <c r="AE655" s="86"/>
      <c r="AF655" s="86"/>
      <c r="AG655" s="86"/>
      <c r="AI655" s="86"/>
      <c r="AJ655" s="86"/>
      <c r="AK655" s="86"/>
    </row>
    <row r="656">
      <c r="AE656" s="86"/>
      <c r="AF656" s="86"/>
      <c r="AG656" s="86"/>
      <c r="AI656" s="86"/>
      <c r="AJ656" s="86"/>
      <c r="AK656" s="86"/>
    </row>
    <row r="657">
      <c r="AE657" s="86"/>
      <c r="AF657" s="86"/>
      <c r="AG657" s="86"/>
      <c r="AI657" s="86"/>
      <c r="AJ657" s="86"/>
      <c r="AK657" s="86"/>
    </row>
    <row r="658">
      <c r="AE658" s="86"/>
      <c r="AF658" s="86"/>
      <c r="AG658" s="86"/>
      <c r="AI658" s="86"/>
      <c r="AJ658" s="86"/>
      <c r="AK658" s="86"/>
    </row>
    <row r="659">
      <c r="AE659" s="86"/>
      <c r="AF659" s="86"/>
      <c r="AG659" s="86"/>
      <c r="AI659" s="86"/>
      <c r="AJ659" s="86"/>
      <c r="AK659" s="86"/>
    </row>
    <row r="660">
      <c r="AE660" s="86"/>
      <c r="AF660" s="86"/>
      <c r="AG660" s="86"/>
      <c r="AI660" s="86"/>
      <c r="AJ660" s="86"/>
      <c r="AK660" s="86"/>
    </row>
    <row r="661">
      <c r="AE661" s="86"/>
      <c r="AF661" s="86"/>
      <c r="AG661" s="86"/>
      <c r="AI661" s="86"/>
      <c r="AJ661" s="86"/>
      <c r="AK661" s="86"/>
    </row>
    <row r="662">
      <c r="AE662" s="86"/>
      <c r="AF662" s="86"/>
      <c r="AG662" s="86"/>
      <c r="AI662" s="86"/>
      <c r="AJ662" s="86"/>
      <c r="AK662" s="86"/>
    </row>
    <row r="663">
      <c r="AE663" s="86"/>
      <c r="AF663" s="86"/>
      <c r="AG663" s="86"/>
      <c r="AI663" s="86"/>
      <c r="AJ663" s="86"/>
      <c r="AK663" s="86"/>
    </row>
    <row r="664">
      <c r="AE664" s="86"/>
      <c r="AF664" s="86"/>
      <c r="AG664" s="86"/>
      <c r="AI664" s="86"/>
      <c r="AJ664" s="86"/>
      <c r="AK664" s="86"/>
    </row>
    <row r="665">
      <c r="AE665" s="86"/>
      <c r="AF665" s="86"/>
      <c r="AG665" s="86"/>
      <c r="AI665" s="86"/>
      <c r="AJ665" s="86"/>
      <c r="AK665" s="86"/>
    </row>
    <row r="666">
      <c r="AE666" s="86"/>
      <c r="AF666" s="86"/>
      <c r="AG666" s="86"/>
      <c r="AI666" s="86"/>
      <c r="AJ666" s="86"/>
      <c r="AK666" s="86"/>
    </row>
    <row r="667">
      <c r="AE667" s="86"/>
      <c r="AF667" s="86"/>
      <c r="AG667" s="86"/>
      <c r="AI667" s="86"/>
      <c r="AJ667" s="86"/>
      <c r="AK667" s="86"/>
    </row>
    <row r="668">
      <c r="AE668" s="86"/>
      <c r="AF668" s="86"/>
      <c r="AG668" s="86"/>
      <c r="AI668" s="86"/>
      <c r="AJ668" s="86"/>
      <c r="AK668" s="86"/>
    </row>
    <row r="669">
      <c r="AE669" s="86"/>
      <c r="AF669" s="86"/>
      <c r="AG669" s="86"/>
      <c r="AI669" s="86"/>
      <c r="AJ669" s="86"/>
      <c r="AK669" s="86"/>
    </row>
    <row r="670">
      <c r="AE670" s="86"/>
      <c r="AF670" s="86"/>
      <c r="AG670" s="86"/>
      <c r="AI670" s="86"/>
      <c r="AJ670" s="86"/>
      <c r="AK670" s="86"/>
    </row>
    <row r="671">
      <c r="AE671" s="86"/>
      <c r="AF671" s="86"/>
      <c r="AG671" s="86"/>
      <c r="AI671" s="86"/>
      <c r="AJ671" s="86"/>
      <c r="AK671" s="86"/>
    </row>
    <row r="672">
      <c r="AE672" s="86"/>
      <c r="AF672" s="86"/>
      <c r="AG672" s="86"/>
      <c r="AI672" s="86"/>
      <c r="AJ672" s="86"/>
      <c r="AK672" s="86"/>
    </row>
    <row r="673">
      <c r="AE673" s="86"/>
      <c r="AF673" s="86"/>
      <c r="AG673" s="86"/>
      <c r="AI673" s="86"/>
      <c r="AJ673" s="86"/>
      <c r="AK673" s="86"/>
    </row>
    <row r="674">
      <c r="AE674" s="86"/>
      <c r="AF674" s="86"/>
      <c r="AG674" s="86"/>
      <c r="AI674" s="86"/>
      <c r="AJ674" s="86"/>
      <c r="AK674" s="86"/>
    </row>
    <row r="675">
      <c r="AE675" s="86"/>
      <c r="AF675" s="86"/>
      <c r="AG675" s="86"/>
      <c r="AI675" s="86"/>
      <c r="AJ675" s="86"/>
      <c r="AK675" s="86"/>
    </row>
    <row r="676">
      <c r="AE676" s="86"/>
      <c r="AF676" s="86"/>
      <c r="AG676" s="86"/>
      <c r="AI676" s="86"/>
      <c r="AJ676" s="86"/>
      <c r="AK676" s="86"/>
    </row>
    <row r="677">
      <c r="AE677" s="86"/>
      <c r="AF677" s="86"/>
      <c r="AG677" s="86"/>
      <c r="AI677" s="86"/>
      <c r="AJ677" s="86"/>
      <c r="AK677" s="86"/>
    </row>
    <row r="678">
      <c r="AE678" s="86"/>
      <c r="AF678" s="86"/>
      <c r="AG678" s="86"/>
      <c r="AI678" s="86"/>
      <c r="AJ678" s="86"/>
      <c r="AK678" s="86"/>
    </row>
    <row r="679">
      <c r="AE679" s="86"/>
      <c r="AF679" s="86"/>
      <c r="AG679" s="86"/>
      <c r="AI679" s="86"/>
      <c r="AJ679" s="86"/>
      <c r="AK679" s="86"/>
    </row>
    <row r="680">
      <c r="AE680" s="86"/>
      <c r="AF680" s="86"/>
      <c r="AG680" s="86"/>
      <c r="AI680" s="86"/>
      <c r="AJ680" s="86"/>
      <c r="AK680" s="86"/>
    </row>
    <row r="681">
      <c r="AE681" s="86"/>
      <c r="AF681" s="86"/>
      <c r="AG681" s="86"/>
      <c r="AI681" s="86"/>
      <c r="AJ681" s="86"/>
      <c r="AK681" s="86"/>
    </row>
    <row r="682">
      <c r="AE682" s="86"/>
      <c r="AF682" s="86"/>
      <c r="AG682" s="86"/>
      <c r="AI682" s="86"/>
      <c r="AJ682" s="86"/>
      <c r="AK682" s="86"/>
    </row>
    <row r="683">
      <c r="AE683" s="86"/>
      <c r="AF683" s="86"/>
      <c r="AG683" s="86"/>
      <c r="AI683" s="86"/>
      <c r="AJ683" s="86"/>
      <c r="AK683" s="86"/>
    </row>
    <row r="684">
      <c r="AE684" s="86"/>
      <c r="AF684" s="86"/>
      <c r="AG684" s="86"/>
      <c r="AI684" s="86"/>
      <c r="AJ684" s="86"/>
      <c r="AK684" s="86"/>
    </row>
    <row r="685">
      <c r="AE685" s="86"/>
      <c r="AF685" s="86"/>
      <c r="AG685" s="86"/>
      <c r="AI685" s="86"/>
      <c r="AJ685" s="86"/>
      <c r="AK685" s="86"/>
    </row>
    <row r="686">
      <c r="AE686" s="86"/>
      <c r="AF686" s="86"/>
      <c r="AG686" s="86"/>
      <c r="AI686" s="86"/>
      <c r="AJ686" s="86"/>
      <c r="AK686" s="86"/>
    </row>
    <row r="687">
      <c r="AE687" s="86"/>
      <c r="AF687" s="86"/>
      <c r="AG687" s="86"/>
      <c r="AI687" s="86"/>
      <c r="AJ687" s="86"/>
      <c r="AK687" s="86"/>
    </row>
    <row r="688">
      <c r="AE688" s="86"/>
      <c r="AF688" s="86"/>
      <c r="AG688" s="86"/>
      <c r="AI688" s="86"/>
      <c r="AJ688" s="86"/>
      <c r="AK688" s="86"/>
    </row>
    <row r="689">
      <c r="AE689" s="86"/>
      <c r="AF689" s="86"/>
      <c r="AG689" s="86"/>
      <c r="AI689" s="86"/>
      <c r="AJ689" s="86"/>
      <c r="AK689" s="86"/>
    </row>
    <row r="690">
      <c r="AE690" s="86"/>
      <c r="AF690" s="86"/>
      <c r="AG690" s="86"/>
      <c r="AI690" s="86"/>
      <c r="AJ690" s="86"/>
      <c r="AK690" s="86"/>
    </row>
    <row r="691">
      <c r="AE691" s="86"/>
      <c r="AF691" s="86"/>
      <c r="AG691" s="86"/>
      <c r="AI691" s="86"/>
      <c r="AJ691" s="86"/>
      <c r="AK691" s="86"/>
    </row>
    <row r="692">
      <c r="AE692" s="86"/>
      <c r="AF692" s="86"/>
      <c r="AG692" s="86"/>
      <c r="AI692" s="86"/>
      <c r="AJ692" s="86"/>
      <c r="AK692" s="86"/>
    </row>
    <row r="693">
      <c r="AE693" s="86"/>
      <c r="AF693" s="86"/>
      <c r="AG693" s="86"/>
      <c r="AI693" s="86"/>
      <c r="AJ693" s="86"/>
      <c r="AK693" s="86"/>
    </row>
    <row r="694">
      <c r="AE694" s="86"/>
      <c r="AF694" s="86"/>
      <c r="AG694" s="86"/>
      <c r="AI694" s="86"/>
      <c r="AJ694" s="86"/>
      <c r="AK694" s="86"/>
    </row>
    <row r="695">
      <c r="AE695" s="86"/>
      <c r="AF695" s="86"/>
      <c r="AG695" s="86"/>
      <c r="AI695" s="86"/>
      <c r="AJ695" s="86"/>
      <c r="AK695" s="86"/>
    </row>
    <row r="696">
      <c r="AE696" s="86"/>
      <c r="AF696" s="86"/>
      <c r="AG696" s="86"/>
      <c r="AI696" s="86"/>
      <c r="AJ696" s="86"/>
      <c r="AK696" s="86"/>
    </row>
    <row r="697">
      <c r="AE697" s="86"/>
      <c r="AF697" s="86"/>
      <c r="AG697" s="86"/>
      <c r="AI697" s="86"/>
      <c r="AJ697" s="86"/>
      <c r="AK697" s="86"/>
    </row>
    <row r="698">
      <c r="AE698" s="86"/>
      <c r="AF698" s="86"/>
      <c r="AG698" s="86"/>
      <c r="AI698" s="86"/>
      <c r="AJ698" s="86"/>
      <c r="AK698" s="86"/>
    </row>
    <row r="699">
      <c r="AE699" s="86"/>
      <c r="AF699" s="86"/>
      <c r="AG699" s="86"/>
      <c r="AI699" s="86"/>
      <c r="AJ699" s="86"/>
      <c r="AK699" s="86"/>
    </row>
    <row r="700">
      <c r="AE700" s="86"/>
      <c r="AF700" s="86"/>
      <c r="AG700" s="86"/>
      <c r="AI700" s="86"/>
      <c r="AJ700" s="86"/>
      <c r="AK700" s="86"/>
    </row>
    <row r="701">
      <c r="AE701" s="86"/>
      <c r="AF701" s="86"/>
      <c r="AG701" s="86"/>
      <c r="AI701" s="86"/>
      <c r="AJ701" s="86"/>
      <c r="AK701" s="86"/>
    </row>
    <row r="702">
      <c r="AE702" s="86"/>
      <c r="AF702" s="86"/>
      <c r="AG702" s="86"/>
      <c r="AI702" s="86"/>
      <c r="AJ702" s="86"/>
      <c r="AK702" s="86"/>
    </row>
    <row r="703">
      <c r="AE703" s="86"/>
      <c r="AF703" s="86"/>
      <c r="AG703" s="86"/>
      <c r="AI703" s="86"/>
      <c r="AJ703" s="86"/>
      <c r="AK703" s="86"/>
    </row>
    <row r="704">
      <c r="AE704" s="86"/>
      <c r="AF704" s="86"/>
      <c r="AG704" s="86"/>
      <c r="AI704" s="86"/>
      <c r="AJ704" s="86"/>
      <c r="AK704" s="86"/>
    </row>
    <row r="705">
      <c r="AE705" s="86"/>
      <c r="AF705" s="86"/>
      <c r="AG705" s="86"/>
      <c r="AI705" s="86"/>
      <c r="AJ705" s="86"/>
      <c r="AK705" s="86"/>
    </row>
    <row r="706">
      <c r="AE706" s="86"/>
      <c r="AF706" s="86"/>
      <c r="AG706" s="86"/>
      <c r="AI706" s="86"/>
      <c r="AJ706" s="86"/>
      <c r="AK706" s="86"/>
    </row>
    <row r="707">
      <c r="AE707" s="86"/>
      <c r="AF707" s="86"/>
      <c r="AG707" s="86"/>
      <c r="AI707" s="86"/>
      <c r="AJ707" s="86"/>
      <c r="AK707" s="86"/>
    </row>
    <row r="708">
      <c r="AE708" s="86"/>
      <c r="AF708" s="86"/>
      <c r="AG708" s="86"/>
      <c r="AI708" s="86"/>
      <c r="AJ708" s="86"/>
      <c r="AK708" s="86"/>
    </row>
    <row r="709">
      <c r="AE709" s="86"/>
      <c r="AF709" s="86"/>
      <c r="AG709" s="86"/>
      <c r="AI709" s="86"/>
      <c r="AJ709" s="86"/>
      <c r="AK709" s="86"/>
    </row>
    <row r="710">
      <c r="AE710" s="86"/>
      <c r="AF710" s="86"/>
      <c r="AG710" s="86"/>
      <c r="AI710" s="86"/>
      <c r="AJ710" s="86"/>
      <c r="AK710" s="86"/>
    </row>
    <row r="711">
      <c r="AE711" s="86"/>
      <c r="AF711" s="86"/>
      <c r="AG711" s="86"/>
      <c r="AI711" s="86"/>
      <c r="AJ711" s="86"/>
      <c r="AK711" s="86"/>
    </row>
    <row r="712">
      <c r="AE712" s="86"/>
      <c r="AF712" s="86"/>
      <c r="AG712" s="86"/>
      <c r="AI712" s="86"/>
      <c r="AJ712" s="86"/>
      <c r="AK712" s="86"/>
    </row>
    <row r="713">
      <c r="AE713" s="86"/>
      <c r="AF713" s="86"/>
      <c r="AG713" s="86"/>
      <c r="AI713" s="86"/>
      <c r="AJ713" s="86"/>
      <c r="AK713" s="86"/>
    </row>
    <row r="714">
      <c r="AE714" s="86"/>
      <c r="AF714" s="86"/>
      <c r="AG714" s="86"/>
      <c r="AI714" s="86"/>
      <c r="AJ714" s="86"/>
      <c r="AK714" s="86"/>
    </row>
    <row r="715">
      <c r="AE715" s="86"/>
      <c r="AF715" s="86"/>
      <c r="AG715" s="86"/>
      <c r="AI715" s="86"/>
      <c r="AJ715" s="86"/>
      <c r="AK715" s="86"/>
    </row>
    <row r="716">
      <c r="AE716" s="86"/>
      <c r="AF716" s="86"/>
      <c r="AG716" s="86"/>
      <c r="AI716" s="86"/>
      <c r="AJ716" s="86"/>
      <c r="AK716" s="86"/>
    </row>
    <row r="717">
      <c r="AE717" s="86"/>
      <c r="AF717" s="86"/>
      <c r="AG717" s="86"/>
      <c r="AI717" s="86"/>
      <c r="AJ717" s="86"/>
      <c r="AK717" s="86"/>
    </row>
    <row r="718">
      <c r="AE718" s="86"/>
      <c r="AF718" s="86"/>
      <c r="AG718" s="86"/>
      <c r="AI718" s="86"/>
      <c r="AJ718" s="86"/>
      <c r="AK718" s="86"/>
    </row>
    <row r="719">
      <c r="AE719" s="86"/>
      <c r="AF719" s="86"/>
      <c r="AG719" s="86"/>
      <c r="AI719" s="86"/>
      <c r="AJ719" s="86"/>
      <c r="AK719" s="86"/>
    </row>
    <row r="720">
      <c r="AE720" s="86"/>
      <c r="AF720" s="86"/>
      <c r="AG720" s="86"/>
      <c r="AI720" s="86"/>
      <c r="AJ720" s="86"/>
      <c r="AK720" s="86"/>
    </row>
    <row r="721">
      <c r="AE721" s="86"/>
      <c r="AF721" s="86"/>
      <c r="AG721" s="86"/>
      <c r="AI721" s="86"/>
      <c r="AJ721" s="86"/>
      <c r="AK721" s="86"/>
    </row>
    <row r="722">
      <c r="AE722" s="86"/>
      <c r="AF722" s="86"/>
      <c r="AG722" s="86"/>
      <c r="AI722" s="86"/>
      <c r="AJ722" s="86"/>
      <c r="AK722" s="86"/>
    </row>
    <row r="723">
      <c r="AE723" s="86"/>
      <c r="AF723" s="86"/>
      <c r="AG723" s="86"/>
      <c r="AI723" s="86"/>
      <c r="AJ723" s="86"/>
      <c r="AK723" s="86"/>
    </row>
    <row r="724">
      <c r="AE724" s="86"/>
      <c r="AF724" s="86"/>
      <c r="AG724" s="86"/>
      <c r="AI724" s="86"/>
      <c r="AJ724" s="86"/>
      <c r="AK724" s="86"/>
    </row>
    <row r="725">
      <c r="AE725" s="86"/>
      <c r="AF725" s="86"/>
      <c r="AG725" s="86"/>
      <c r="AI725" s="86"/>
      <c r="AJ725" s="86"/>
      <c r="AK725" s="86"/>
    </row>
    <row r="726">
      <c r="AE726" s="86"/>
      <c r="AF726" s="86"/>
      <c r="AG726" s="86"/>
      <c r="AI726" s="86"/>
      <c r="AJ726" s="86"/>
      <c r="AK726" s="86"/>
    </row>
    <row r="727">
      <c r="AE727" s="86"/>
      <c r="AF727" s="86"/>
      <c r="AG727" s="86"/>
      <c r="AI727" s="86"/>
      <c r="AJ727" s="86"/>
      <c r="AK727" s="86"/>
    </row>
    <row r="728">
      <c r="AE728" s="86"/>
      <c r="AF728" s="86"/>
      <c r="AG728" s="86"/>
      <c r="AI728" s="86"/>
      <c r="AJ728" s="86"/>
      <c r="AK728" s="86"/>
    </row>
    <row r="729">
      <c r="AE729" s="86"/>
      <c r="AF729" s="86"/>
      <c r="AG729" s="86"/>
      <c r="AI729" s="86"/>
      <c r="AJ729" s="86"/>
      <c r="AK729" s="86"/>
    </row>
    <row r="730">
      <c r="AE730" s="86"/>
      <c r="AF730" s="86"/>
      <c r="AG730" s="86"/>
      <c r="AI730" s="86"/>
      <c r="AJ730" s="86"/>
      <c r="AK730" s="86"/>
    </row>
    <row r="731">
      <c r="AE731" s="86"/>
      <c r="AF731" s="86"/>
      <c r="AG731" s="86"/>
      <c r="AI731" s="86"/>
      <c r="AJ731" s="86"/>
      <c r="AK731" s="86"/>
    </row>
    <row r="732">
      <c r="AE732" s="86"/>
      <c r="AF732" s="86"/>
      <c r="AG732" s="86"/>
      <c r="AI732" s="86"/>
      <c r="AJ732" s="86"/>
      <c r="AK732" s="86"/>
    </row>
    <row r="733">
      <c r="AE733" s="86"/>
      <c r="AF733" s="86"/>
      <c r="AG733" s="86"/>
      <c r="AI733" s="86"/>
      <c r="AJ733" s="86"/>
      <c r="AK733" s="86"/>
    </row>
    <row r="734">
      <c r="AE734" s="86"/>
      <c r="AF734" s="86"/>
      <c r="AG734" s="86"/>
      <c r="AI734" s="86"/>
      <c r="AJ734" s="86"/>
      <c r="AK734" s="86"/>
    </row>
    <row r="735">
      <c r="AE735" s="86"/>
      <c r="AF735" s="86"/>
      <c r="AG735" s="86"/>
      <c r="AI735" s="86"/>
      <c r="AJ735" s="86"/>
      <c r="AK735" s="86"/>
    </row>
    <row r="736">
      <c r="AE736" s="86"/>
      <c r="AF736" s="86"/>
      <c r="AG736" s="86"/>
      <c r="AI736" s="86"/>
      <c r="AJ736" s="86"/>
      <c r="AK736" s="86"/>
    </row>
    <row r="737">
      <c r="AE737" s="86"/>
      <c r="AF737" s="86"/>
      <c r="AG737" s="86"/>
      <c r="AI737" s="86"/>
      <c r="AJ737" s="86"/>
      <c r="AK737" s="86"/>
    </row>
    <row r="738">
      <c r="AE738" s="86"/>
      <c r="AF738" s="86"/>
      <c r="AG738" s="86"/>
      <c r="AI738" s="86"/>
      <c r="AJ738" s="86"/>
      <c r="AK738" s="86"/>
    </row>
    <row r="739">
      <c r="AE739" s="86"/>
      <c r="AF739" s="86"/>
      <c r="AG739" s="86"/>
      <c r="AI739" s="86"/>
      <c r="AJ739" s="86"/>
      <c r="AK739" s="86"/>
    </row>
    <row r="740">
      <c r="AE740" s="86"/>
      <c r="AF740" s="86"/>
      <c r="AG740" s="86"/>
      <c r="AI740" s="86"/>
      <c r="AJ740" s="86"/>
      <c r="AK740" s="86"/>
    </row>
    <row r="741">
      <c r="AE741" s="86"/>
      <c r="AF741" s="86"/>
      <c r="AG741" s="86"/>
      <c r="AI741" s="86"/>
      <c r="AJ741" s="86"/>
      <c r="AK741" s="86"/>
    </row>
    <row r="742">
      <c r="AE742" s="86"/>
      <c r="AF742" s="86"/>
      <c r="AG742" s="86"/>
      <c r="AI742" s="86"/>
      <c r="AJ742" s="86"/>
      <c r="AK742" s="86"/>
    </row>
    <row r="743">
      <c r="AE743" s="86"/>
      <c r="AF743" s="86"/>
      <c r="AG743" s="86"/>
      <c r="AI743" s="86"/>
      <c r="AJ743" s="86"/>
      <c r="AK743" s="86"/>
    </row>
    <row r="744">
      <c r="AE744" s="86"/>
      <c r="AF744" s="86"/>
      <c r="AG744" s="86"/>
      <c r="AI744" s="86"/>
      <c r="AJ744" s="86"/>
      <c r="AK744" s="86"/>
    </row>
    <row r="745">
      <c r="AE745" s="86"/>
      <c r="AF745" s="86"/>
      <c r="AG745" s="86"/>
      <c r="AI745" s="86"/>
      <c r="AJ745" s="86"/>
      <c r="AK745" s="86"/>
    </row>
    <row r="746">
      <c r="AE746" s="86"/>
      <c r="AF746" s="86"/>
      <c r="AG746" s="86"/>
      <c r="AI746" s="86"/>
      <c r="AJ746" s="86"/>
      <c r="AK746" s="86"/>
    </row>
    <row r="747">
      <c r="AE747" s="86"/>
      <c r="AF747" s="86"/>
      <c r="AG747" s="86"/>
      <c r="AI747" s="86"/>
      <c r="AJ747" s="86"/>
      <c r="AK747" s="86"/>
    </row>
    <row r="748">
      <c r="AE748" s="86"/>
      <c r="AF748" s="86"/>
      <c r="AG748" s="86"/>
      <c r="AI748" s="86"/>
      <c r="AJ748" s="86"/>
      <c r="AK748" s="86"/>
    </row>
    <row r="749">
      <c r="AE749" s="86"/>
      <c r="AF749" s="86"/>
      <c r="AG749" s="86"/>
      <c r="AI749" s="86"/>
      <c r="AJ749" s="86"/>
      <c r="AK749" s="86"/>
    </row>
    <row r="750">
      <c r="AE750" s="86"/>
      <c r="AF750" s="86"/>
      <c r="AG750" s="86"/>
      <c r="AI750" s="86"/>
      <c r="AJ750" s="86"/>
      <c r="AK750" s="86"/>
    </row>
    <row r="751">
      <c r="AE751" s="86"/>
      <c r="AF751" s="86"/>
      <c r="AG751" s="86"/>
      <c r="AI751" s="86"/>
      <c r="AJ751" s="86"/>
      <c r="AK751" s="86"/>
    </row>
    <row r="752">
      <c r="AE752" s="86"/>
      <c r="AF752" s="86"/>
      <c r="AG752" s="86"/>
      <c r="AI752" s="86"/>
      <c r="AJ752" s="86"/>
      <c r="AK752" s="86"/>
    </row>
    <row r="753">
      <c r="AE753" s="86"/>
      <c r="AF753" s="86"/>
      <c r="AG753" s="86"/>
      <c r="AI753" s="86"/>
      <c r="AJ753" s="86"/>
      <c r="AK753" s="86"/>
    </row>
    <row r="754">
      <c r="AE754" s="86"/>
      <c r="AF754" s="86"/>
      <c r="AG754" s="86"/>
      <c r="AI754" s="86"/>
      <c r="AJ754" s="86"/>
      <c r="AK754" s="86"/>
    </row>
    <row r="755">
      <c r="AE755" s="86"/>
      <c r="AF755" s="86"/>
      <c r="AG755" s="86"/>
      <c r="AI755" s="86"/>
      <c r="AJ755" s="86"/>
      <c r="AK755" s="86"/>
    </row>
    <row r="756">
      <c r="AE756" s="86"/>
      <c r="AF756" s="86"/>
      <c r="AG756" s="86"/>
      <c r="AI756" s="86"/>
      <c r="AJ756" s="86"/>
      <c r="AK756" s="86"/>
    </row>
    <row r="757">
      <c r="AE757" s="86"/>
      <c r="AF757" s="86"/>
      <c r="AG757" s="86"/>
      <c r="AI757" s="86"/>
      <c r="AJ757" s="86"/>
      <c r="AK757" s="86"/>
    </row>
    <row r="758">
      <c r="AE758" s="86"/>
      <c r="AF758" s="86"/>
      <c r="AG758" s="86"/>
      <c r="AI758" s="86"/>
      <c r="AJ758" s="86"/>
      <c r="AK758" s="86"/>
    </row>
    <row r="759">
      <c r="AE759" s="86"/>
      <c r="AF759" s="86"/>
      <c r="AG759" s="86"/>
      <c r="AI759" s="86"/>
      <c r="AJ759" s="86"/>
      <c r="AK759" s="86"/>
    </row>
    <row r="760">
      <c r="AE760" s="86"/>
      <c r="AF760" s="86"/>
      <c r="AG760" s="86"/>
      <c r="AI760" s="86"/>
      <c r="AJ760" s="86"/>
      <c r="AK760" s="86"/>
    </row>
    <row r="761">
      <c r="AE761" s="86"/>
      <c r="AF761" s="86"/>
      <c r="AG761" s="86"/>
      <c r="AI761" s="86"/>
      <c r="AJ761" s="86"/>
      <c r="AK761" s="86"/>
    </row>
    <row r="762">
      <c r="AE762" s="86"/>
      <c r="AF762" s="86"/>
      <c r="AG762" s="86"/>
      <c r="AI762" s="86"/>
      <c r="AJ762" s="86"/>
      <c r="AK762" s="86"/>
    </row>
    <row r="763">
      <c r="AE763" s="86"/>
      <c r="AF763" s="86"/>
      <c r="AG763" s="86"/>
      <c r="AI763" s="86"/>
      <c r="AJ763" s="86"/>
      <c r="AK763" s="86"/>
    </row>
    <row r="764">
      <c r="AE764" s="86"/>
      <c r="AF764" s="86"/>
      <c r="AG764" s="86"/>
      <c r="AI764" s="86"/>
      <c r="AJ764" s="86"/>
      <c r="AK764" s="86"/>
    </row>
    <row r="765">
      <c r="AE765" s="86"/>
      <c r="AF765" s="86"/>
      <c r="AG765" s="86"/>
      <c r="AI765" s="86"/>
      <c r="AJ765" s="86"/>
      <c r="AK765" s="86"/>
    </row>
    <row r="766">
      <c r="AE766" s="86"/>
      <c r="AF766" s="86"/>
      <c r="AG766" s="86"/>
      <c r="AI766" s="86"/>
      <c r="AJ766" s="86"/>
      <c r="AK766" s="86"/>
    </row>
    <row r="767">
      <c r="AE767" s="86"/>
      <c r="AF767" s="86"/>
      <c r="AG767" s="86"/>
      <c r="AI767" s="86"/>
      <c r="AJ767" s="86"/>
      <c r="AK767" s="86"/>
    </row>
    <row r="768">
      <c r="AE768" s="86"/>
      <c r="AF768" s="86"/>
      <c r="AG768" s="86"/>
      <c r="AI768" s="86"/>
      <c r="AJ768" s="86"/>
      <c r="AK768" s="86"/>
    </row>
    <row r="769">
      <c r="AE769" s="86"/>
      <c r="AF769" s="86"/>
      <c r="AG769" s="86"/>
      <c r="AI769" s="86"/>
      <c r="AJ769" s="86"/>
      <c r="AK769" s="86"/>
    </row>
    <row r="770">
      <c r="AE770" s="86"/>
      <c r="AF770" s="86"/>
      <c r="AG770" s="86"/>
      <c r="AI770" s="86"/>
      <c r="AJ770" s="86"/>
      <c r="AK770" s="86"/>
    </row>
    <row r="771">
      <c r="AE771" s="86"/>
      <c r="AF771" s="86"/>
      <c r="AG771" s="86"/>
      <c r="AI771" s="86"/>
      <c r="AJ771" s="86"/>
      <c r="AK771" s="86"/>
    </row>
    <row r="772">
      <c r="AE772" s="86"/>
      <c r="AF772" s="86"/>
      <c r="AG772" s="86"/>
      <c r="AI772" s="86"/>
      <c r="AJ772" s="86"/>
      <c r="AK772" s="86"/>
    </row>
    <row r="773">
      <c r="AE773" s="86"/>
      <c r="AF773" s="86"/>
      <c r="AG773" s="86"/>
      <c r="AI773" s="86"/>
      <c r="AJ773" s="86"/>
      <c r="AK773" s="86"/>
    </row>
    <row r="774">
      <c r="AE774" s="86"/>
      <c r="AF774" s="86"/>
      <c r="AG774" s="86"/>
      <c r="AI774" s="86"/>
      <c r="AJ774" s="86"/>
      <c r="AK774" s="86"/>
    </row>
    <row r="775">
      <c r="AE775" s="86"/>
      <c r="AF775" s="86"/>
      <c r="AG775" s="86"/>
      <c r="AI775" s="86"/>
      <c r="AJ775" s="86"/>
      <c r="AK775" s="86"/>
    </row>
    <row r="776">
      <c r="AE776" s="86"/>
      <c r="AF776" s="86"/>
      <c r="AG776" s="86"/>
      <c r="AI776" s="86"/>
      <c r="AJ776" s="86"/>
      <c r="AK776" s="86"/>
    </row>
    <row r="777">
      <c r="AE777" s="86"/>
      <c r="AF777" s="86"/>
      <c r="AG777" s="86"/>
      <c r="AI777" s="86"/>
      <c r="AJ777" s="86"/>
      <c r="AK777" s="86"/>
    </row>
    <row r="778">
      <c r="AE778" s="86"/>
      <c r="AF778" s="86"/>
      <c r="AG778" s="86"/>
      <c r="AI778" s="86"/>
      <c r="AJ778" s="86"/>
      <c r="AK778" s="86"/>
    </row>
    <row r="779">
      <c r="AE779" s="86"/>
      <c r="AF779" s="86"/>
      <c r="AG779" s="86"/>
      <c r="AI779" s="86"/>
      <c r="AJ779" s="86"/>
      <c r="AK779" s="86"/>
    </row>
    <row r="780">
      <c r="AE780" s="86"/>
      <c r="AF780" s="86"/>
      <c r="AG780" s="86"/>
      <c r="AI780" s="86"/>
      <c r="AJ780" s="86"/>
      <c r="AK780" s="86"/>
    </row>
    <row r="781">
      <c r="AE781" s="86"/>
      <c r="AF781" s="86"/>
      <c r="AG781" s="86"/>
      <c r="AI781" s="86"/>
      <c r="AJ781" s="86"/>
      <c r="AK781" s="86"/>
    </row>
    <row r="782">
      <c r="AE782" s="86"/>
      <c r="AF782" s="86"/>
      <c r="AG782" s="86"/>
      <c r="AI782" s="86"/>
      <c r="AJ782" s="86"/>
      <c r="AK782" s="86"/>
    </row>
    <row r="783">
      <c r="AE783" s="86"/>
      <c r="AF783" s="86"/>
      <c r="AG783" s="86"/>
      <c r="AI783" s="86"/>
      <c r="AJ783" s="86"/>
      <c r="AK783" s="86"/>
    </row>
    <row r="784">
      <c r="AE784" s="86"/>
      <c r="AF784" s="86"/>
      <c r="AG784" s="86"/>
      <c r="AI784" s="86"/>
      <c r="AJ784" s="86"/>
      <c r="AK784" s="86"/>
    </row>
    <row r="785">
      <c r="AE785" s="86"/>
      <c r="AF785" s="86"/>
      <c r="AG785" s="86"/>
      <c r="AI785" s="86"/>
      <c r="AJ785" s="86"/>
      <c r="AK785" s="86"/>
    </row>
    <row r="786">
      <c r="AE786" s="86"/>
      <c r="AF786" s="86"/>
      <c r="AG786" s="86"/>
      <c r="AI786" s="86"/>
      <c r="AJ786" s="86"/>
      <c r="AK786" s="86"/>
    </row>
    <row r="787">
      <c r="AE787" s="86"/>
      <c r="AF787" s="86"/>
      <c r="AG787" s="86"/>
      <c r="AI787" s="86"/>
      <c r="AJ787" s="86"/>
      <c r="AK787" s="86"/>
    </row>
    <row r="788">
      <c r="AE788" s="86"/>
      <c r="AF788" s="86"/>
      <c r="AG788" s="86"/>
      <c r="AI788" s="86"/>
      <c r="AJ788" s="86"/>
      <c r="AK788" s="86"/>
    </row>
    <row r="789">
      <c r="AE789" s="86"/>
      <c r="AF789" s="86"/>
      <c r="AG789" s="86"/>
      <c r="AI789" s="86"/>
      <c r="AJ789" s="86"/>
      <c r="AK789" s="86"/>
    </row>
    <row r="790">
      <c r="AE790" s="86"/>
      <c r="AF790" s="86"/>
      <c r="AG790" s="86"/>
      <c r="AI790" s="86"/>
      <c r="AJ790" s="86"/>
      <c r="AK790" s="86"/>
    </row>
    <row r="791">
      <c r="AE791" s="86"/>
      <c r="AF791" s="86"/>
      <c r="AG791" s="86"/>
      <c r="AI791" s="86"/>
      <c r="AJ791" s="86"/>
      <c r="AK791" s="86"/>
    </row>
    <row r="792">
      <c r="AE792" s="86"/>
      <c r="AF792" s="86"/>
      <c r="AG792" s="86"/>
      <c r="AI792" s="86"/>
      <c r="AJ792" s="86"/>
      <c r="AK792" s="86"/>
    </row>
    <row r="793">
      <c r="AE793" s="86"/>
      <c r="AF793" s="86"/>
      <c r="AG793" s="86"/>
      <c r="AI793" s="86"/>
      <c r="AJ793" s="86"/>
      <c r="AK793" s="86"/>
    </row>
    <row r="794">
      <c r="AE794" s="86"/>
      <c r="AF794" s="86"/>
      <c r="AG794" s="86"/>
      <c r="AI794" s="86"/>
      <c r="AJ794" s="86"/>
      <c r="AK794" s="86"/>
    </row>
    <row r="795">
      <c r="AE795" s="86"/>
      <c r="AF795" s="86"/>
      <c r="AG795" s="86"/>
      <c r="AI795" s="86"/>
      <c r="AJ795" s="86"/>
      <c r="AK795" s="86"/>
    </row>
    <row r="796">
      <c r="AE796" s="86"/>
      <c r="AF796" s="86"/>
      <c r="AG796" s="86"/>
      <c r="AI796" s="86"/>
      <c r="AJ796" s="86"/>
      <c r="AK796" s="86"/>
    </row>
    <row r="797">
      <c r="AE797" s="86"/>
      <c r="AF797" s="86"/>
      <c r="AG797" s="86"/>
      <c r="AI797" s="86"/>
      <c r="AJ797" s="86"/>
      <c r="AK797" s="86"/>
    </row>
    <row r="798">
      <c r="AE798" s="86"/>
      <c r="AF798" s="86"/>
      <c r="AG798" s="86"/>
      <c r="AI798" s="86"/>
      <c r="AJ798" s="86"/>
      <c r="AK798" s="86"/>
    </row>
    <row r="799">
      <c r="AE799" s="86"/>
      <c r="AF799" s="86"/>
      <c r="AG799" s="86"/>
      <c r="AI799" s="86"/>
      <c r="AJ799" s="86"/>
      <c r="AK799" s="86"/>
    </row>
    <row r="800">
      <c r="AE800" s="86"/>
      <c r="AF800" s="86"/>
      <c r="AG800" s="86"/>
      <c r="AI800" s="86"/>
      <c r="AJ800" s="86"/>
      <c r="AK800" s="86"/>
    </row>
    <row r="801">
      <c r="AE801" s="86"/>
      <c r="AF801" s="86"/>
      <c r="AG801" s="86"/>
      <c r="AI801" s="86"/>
      <c r="AJ801" s="86"/>
      <c r="AK801" s="86"/>
    </row>
    <row r="802">
      <c r="AE802" s="86"/>
      <c r="AF802" s="86"/>
      <c r="AG802" s="86"/>
      <c r="AI802" s="86"/>
      <c r="AJ802" s="86"/>
      <c r="AK802" s="86"/>
    </row>
    <row r="803">
      <c r="AE803" s="86"/>
      <c r="AF803" s="86"/>
      <c r="AG803" s="86"/>
      <c r="AI803" s="86"/>
      <c r="AJ803" s="86"/>
      <c r="AK803" s="86"/>
    </row>
    <row r="804">
      <c r="AE804" s="86"/>
      <c r="AF804" s="86"/>
      <c r="AG804" s="86"/>
      <c r="AI804" s="86"/>
      <c r="AJ804" s="86"/>
      <c r="AK804" s="86"/>
    </row>
    <row r="805">
      <c r="AE805" s="86"/>
      <c r="AF805" s="86"/>
      <c r="AG805" s="86"/>
      <c r="AI805" s="86"/>
      <c r="AJ805" s="86"/>
      <c r="AK805" s="86"/>
    </row>
    <row r="806">
      <c r="AE806" s="86"/>
      <c r="AF806" s="86"/>
      <c r="AG806" s="86"/>
      <c r="AI806" s="86"/>
      <c r="AJ806" s="86"/>
      <c r="AK806" s="86"/>
    </row>
    <row r="807">
      <c r="AE807" s="86"/>
      <c r="AF807" s="86"/>
      <c r="AG807" s="86"/>
      <c r="AI807" s="86"/>
      <c r="AJ807" s="86"/>
      <c r="AK807" s="86"/>
    </row>
    <row r="808">
      <c r="AE808" s="86"/>
      <c r="AF808" s="86"/>
      <c r="AG808" s="86"/>
      <c r="AI808" s="86"/>
      <c r="AJ808" s="86"/>
      <c r="AK808" s="86"/>
    </row>
    <row r="809">
      <c r="AE809" s="86"/>
      <c r="AF809" s="86"/>
      <c r="AG809" s="86"/>
      <c r="AI809" s="86"/>
      <c r="AJ809" s="86"/>
      <c r="AK809" s="86"/>
    </row>
    <row r="810">
      <c r="AE810" s="86"/>
      <c r="AF810" s="86"/>
      <c r="AG810" s="86"/>
      <c r="AI810" s="86"/>
      <c r="AJ810" s="86"/>
      <c r="AK810" s="86"/>
    </row>
    <row r="811">
      <c r="AE811" s="86"/>
      <c r="AF811" s="86"/>
      <c r="AG811" s="86"/>
      <c r="AI811" s="86"/>
      <c r="AJ811" s="86"/>
      <c r="AK811" s="86"/>
    </row>
    <row r="812">
      <c r="AE812" s="86"/>
      <c r="AF812" s="86"/>
      <c r="AG812" s="86"/>
      <c r="AI812" s="86"/>
      <c r="AJ812" s="86"/>
      <c r="AK812" s="86"/>
    </row>
    <row r="813">
      <c r="AE813" s="86"/>
      <c r="AF813" s="86"/>
      <c r="AG813" s="86"/>
      <c r="AI813" s="86"/>
      <c r="AJ813" s="86"/>
      <c r="AK813" s="86"/>
    </row>
    <row r="814">
      <c r="AE814" s="86"/>
      <c r="AF814" s="86"/>
      <c r="AG814" s="86"/>
      <c r="AI814" s="86"/>
      <c r="AJ814" s="86"/>
      <c r="AK814" s="86"/>
    </row>
    <row r="815">
      <c r="AE815" s="86"/>
      <c r="AF815" s="86"/>
      <c r="AG815" s="86"/>
      <c r="AI815" s="86"/>
      <c r="AJ815" s="86"/>
      <c r="AK815" s="86"/>
    </row>
    <row r="816">
      <c r="AE816" s="86"/>
      <c r="AF816" s="86"/>
      <c r="AG816" s="86"/>
      <c r="AI816" s="86"/>
      <c r="AJ816" s="86"/>
      <c r="AK816" s="86"/>
    </row>
    <row r="817">
      <c r="AE817" s="86"/>
      <c r="AF817" s="86"/>
      <c r="AG817" s="86"/>
      <c r="AI817" s="86"/>
      <c r="AJ817" s="86"/>
      <c r="AK817" s="86"/>
    </row>
    <row r="818">
      <c r="AE818" s="86"/>
      <c r="AF818" s="86"/>
      <c r="AG818" s="86"/>
      <c r="AI818" s="86"/>
      <c r="AJ818" s="86"/>
      <c r="AK818" s="86"/>
    </row>
    <row r="819">
      <c r="AE819" s="86"/>
      <c r="AF819" s="86"/>
      <c r="AG819" s="86"/>
      <c r="AI819" s="86"/>
      <c r="AJ819" s="86"/>
      <c r="AK819" s="86"/>
    </row>
    <row r="820">
      <c r="AE820" s="86"/>
      <c r="AF820" s="86"/>
      <c r="AG820" s="86"/>
      <c r="AI820" s="86"/>
      <c r="AJ820" s="86"/>
      <c r="AK820" s="86"/>
    </row>
    <row r="821">
      <c r="AE821" s="86"/>
      <c r="AF821" s="86"/>
      <c r="AG821" s="86"/>
      <c r="AI821" s="86"/>
      <c r="AJ821" s="86"/>
      <c r="AK821" s="86"/>
    </row>
    <row r="822">
      <c r="AE822" s="86"/>
      <c r="AF822" s="86"/>
      <c r="AG822" s="86"/>
      <c r="AI822" s="86"/>
      <c r="AJ822" s="86"/>
      <c r="AK822" s="86"/>
    </row>
    <row r="823">
      <c r="AE823" s="86"/>
      <c r="AF823" s="86"/>
      <c r="AG823" s="86"/>
      <c r="AI823" s="86"/>
      <c r="AJ823" s="86"/>
      <c r="AK823" s="86"/>
    </row>
    <row r="824">
      <c r="AE824" s="86"/>
      <c r="AF824" s="86"/>
      <c r="AG824" s="86"/>
      <c r="AI824" s="86"/>
      <c r="AJ824" s="86"/>
      <c r="AK824" s="86"/>
    </row>
    <row r="825">
      <c r="AE825" s="86"/>
      <c r="AF825" s="86"/>
      <c r="AG825" s="86"/>
      <c r="AI825" s="86"/>
      <c r="AJ825" s="86"/>
      <c r="AK825" s="86"/>
    </row>
    <row r="826">
      <c r="AE826" s="86"/>
      <c r="AF826" s="86"/>
      <c r="AG826" s="86"/>
      <c r="AI826" s="86"/>
      <c r="AJ826" s="86"/>
      <c r="AK826" s="86"/>
    </row>
    <row r="827">
      <c r="AE827" s="86"/>
      <c r="AF827" s="86"/>
      <c r="AG827" s="86"/>
      <c r="AI827" s="86"/>
      <c r="AJ827" s="86"/>
      <c r="AK827" s="86"/>
    </row>
    <row r="828">
      <c r="AE828" s="86"/>
      <c r="AF828" s="86"/>
      <c r="AG828" s="86"/>
      <c r="AI828" s="86"/>
      <c r="AJ828" s="86"/>
      <c r="AK828" s="86"/>
    </row>
    <row r="829">
      <c r="AE829" s="86"/>
      <c r="AF829" s="86"/>
      <c r="AG829" s="86"/>
      <c r="AI829" s="86"/>
      <c r="AJ829" s="86"/>
      <c r="AK829" s="86"/>
    </row>
    <row r="830">
      <c r="AE830" s="86"/>
      <c r="AF830" s="86"/>
      <c r="AG830" s="86"/>
      <c r="AI830" s="86"/>
      <c r="AJ830" s="86"/>
      <c r="AK830" s="86"/>
    </row>
    <row r="831">
      <c r="AE831" s="86"/>
      <c r="AF831" s="86"/>
      <c r="AG831" s="86"/>
      <c r="AI831" s="86"/>
      <c r="AJ831" s="86"/>
      <c r="AK831" s="86"/>
    </row>
    <row r="832">
      <c r="AE832" s="86"/>
      <c r="AF832" s="86"/>
      <c r="AG832" s="86"/>
      <c r="AI832" s="86"/>
      <c r="AJ832" s="86"/>
      <c r="AK832" s="86"/>
    </row>
    <row r="833">
      <c r="AE833" s="86"/>
      <c r="AF833" s="86"/>
      <c r="AG833" s="86"/>
      <c r="AI833" s="86"/>
      <c r="AJ833" s="86"/>
      <c r="AK833" s="86"/>
    </row>
    <row r="834">
      <c r="AE834" s="86"/>
      <c r="AF834" s="86"/>
      <c r="AG834" s="86"/>
      <c r="AI834" s="86"/>
      <c r="AJ834" s="86"/>
      <c r="AK834" s="86"/>
    </row>
    <row r="835">
      <c r="AE835" s="86"/>
      <c r="AF835" s="86"/>
      <c r="AG835" s="86"/>
      <c r="AI835" s="86"/>
      <c r="AJ835" s="86"/>
      <c r="AK835" s="86"/>
    </row>
    <row r="836">
      <c r="AE836" s="86"/>
      <c r="AF836" s="86"/>
      <c r="AG836" s="86"/>
      <c r="AI836" s="86"/>
      <c r="AJ836" s="86"/>
      <c r="AK836" s="86"/>
    </row>
    <row r="837">
      <c r="AE837" s="86"/>
      <c r="AF837" s="86"/>
      <c r="AG837" s="86"/>
      <c r="AI837" s="86"/>
      <c r="AJ837" s="86"/>
      <c r="AK837" s="86"/>
    </row>
    <row r="838">
      <c r="AE838" s="86"/>
      <c r="AF838" s="86"/>
      <c r="AG838" s="86"/>
      <c r="AI838" s="86"/>
      <c r="AJ838" s="86"/>
      <c r="AK838" s="86"/>
    </row>
    <row r="839">
      <c r="AE839" s="86"/>
      <c r="AF839" s="86"/>
      <c r="AG839" s="86"/>
      <c r="AI839" s="86"/>
      <c r="AJ839" s="86"/>
      <c r="AK839" s="86"/>
    </row>
    <row r="840">
      <c r="AE840" s="86"/>
      <c r="AF840" s="86"/>
      <c r="AG840" s="86"/>
      <c r="AI840" s="86"/>
      <c r="AJ840" s="86"/>
      <c r="AK840" s="86"/>
    </row>
    <row r="841">
      <c r="AE841" s="86"/>
      <c r="AF841" s="86"/>
      <c r="AG841" s="86"/>
      <c r="AI841" s="86"/>
      <c r="AJ841" s="86"/>
      <c r="AK841" s="86"/>
    </row>
    <row r="842">
      <c r="AE842" s="86"/>
      <c r="AF842" s="86"/>
      <c r="AG842" s="86"/>
      <c r="AI842" s="86"/>
      <c r="AJ842" s="86"/>
      <c r="AK842" s="86"/>
    </row>
    <row r="843">
      <c r="AE843" s="86"/>
      <c r="AF843" s="86"/>
      <c r="AG843" s="86"/>
      <c r="AI843" s="86"/>
      <c r="AJ843" s="86"/>
      <c r="AK843" s="86"/>
    </row>
    <row r="844">
      <c r="AE844" s="86"/>
      <c r="AF844" s="86"/>
      <c r="AG844" s="86"/>
      <c r="AI844" s="86"/>
      <c r="AJ844" s="86"/>
      <c r="AK844" s="86"/>
    </row>
    <row r="845">
      <c r="AE845" s="86"/>
      <c r="AF845" s="86"/>
      <c r="AG845" s="86"/>
      <c r="AI845" s="86"/>
      <c r="AJ845" s="86"/>
      <c r="AK845" s="86"/>
    </row>
    <row r="846">
      <c r="AE846" s="86"/>
      <c r="AF846" s="86"/>
      <c r="AG846" s="86"/>
      <c r="AI846" s="86"/>
      <c r="AJ846" s="86"/>
      <c r="AK846" s="86"/>
    </row>
    <row r="847">
      <c r="AE847" s="86"/>
      <c r="AF847" s="86"/>
      <c r="AG847" s="86"/>
      <c r="AI847" s="86"/>
      <c r="AJ847" s="86"/>
      <c r="AK847" s="86"/>
    </row>
    <row r="848">
      <c r="AE848" s="86"/>
      <c r="AF848" s="86"/>
      <c r="AG848" s="86"/>
      <c r="AI848" s="86"/>
      <c r="AJ848" s="86"/>
      <c r="AK848" s="86"/>
    </row>
    <row r="849">
      <c r="AE849" s="86"/>
      <c r="AF849" s="86"/>
      <c r="AG849" s="86"/>
      <c r="AI849" s="86"/>
      <c r="AJ849" s="86"/>
      <c r="AK849" s="86"/>
    </row>
    <row r="850">
      <c r="AE850" s="86"/>
      <c r="AF850" s="86"/>
      <c r="AG850" s="86"/>
      <c r="AI850" s="86"/>
      <c r="AJ850" s="86"/>
      <c r="AK850" s="86"/>
    </row>
    <row r="851">
      <c r="AE851" s="86"/>
      <c r="AF851" s="86"/>
      <c r="AG851" s="86"/>
      <c r="AI851" s="86"/>
      <c r="AJ851" s="86"/>
      <c r="AK851" s="86"/>
    </row>
    <row r="852">
      <c r="AE852" s="86"/>
      <c r="AF852" s="86"/>
      <c r="AG852" s="86"/>
      <c r="AI852" s="86"/>
      <c r="AJ852" s="86"/>
      <c r="AK852" s="86"/>
    </row>
    <row r="853">
      <c r="AE853" s="86"/>
      <c r="AF853" s="86"/>
      <c r="AG853" s="86"/>
      <c r="AI853" s="86"/>
      <c r="AJ853" s="86"/>
      <c r="AK853" s="86"/>
    </row>
    <row r="854">
      <c r="AE854" s="86"/>
      <c r="AF854" s="86"/>
      <c r="AG854" s="86"/>
      <c r="AI854" s="86"/>
      <c r="AJ854" s="86"/>
      <c r="AK854" s="86"/>
    </row>
    <row r="855">
      <c r="AE855" s="86"/>
      <c r="AF855" s="86"/>
      <c r="AG855" s="86"/>
      <c r="AI855" s="86"/>
      <c r="AJ855" s="86"/>
      <c r="AK855" s="86"/>
    </row>
    <row r="856">
      <c r="AE856" s="86"/>
      <c r="AF856" s="86"/>
      <c r="AG856" s="86"/>
      <c r="AI856" s="86"/>
      <c r="AJ856" s="86"/>
      <c r="AK856" s="86"/>
    </row>
    <row r="857">
      <c r="AE857" s="86"/>
      <c r="AF857" s="86"/>
      <c r="AG857" s="86"/>
      <c r="AI857" s="86"/>
      <c r="AJ857" s="86"/>
      <c r="AK857" s="86"/>
    </row>
    <row r="858">
      <c r="AE858" s="86"/>
      <c r="AF858" s="86"/>
      <c r="AG858" s="86"/>
      <c r="AI858" s="86"/>
      <c r="AJ858" s="86"/>
      <c r="AK858" s="86"/>
    </row>
    <row r="859">
      <c r="AE859" s="86"/>
      <c r="AF859" s="86"/>
      <c r="AG859" s="86"/>
      <c r="AI859" s="86"/>
      <c r="AJ859" s="86"/>
      <c r="AK859" s="86"/>
    </row>
    <row r="860">
      <c r="AE860" s="86"/>
      <c r="AF860" s="86"/>
      <c r="AG860" s="86"/>
      <c r="AI860" s="86"/>
      <c r="AJ860" s="86"/>
      <c r="AK860" s="86"/>
    </row>
    <row r="861">
      <c r="AE861" s="86"/>
      <c r="AF861" s="86"/>
      <c r="AG861" s="86"/>
      <c r="AI861" s="86"/>
      <c r="AJ861" s="86"/>
      <c r="AK861" s="86"/>
    </row>
    <row r="862">
      <c r="AE862" s="86"/>
      <c r="AF862" s="86"/>
      <c r="AG862" s="86"/>
      <c r="AI862" s="86"/>
      <c r="AJ862" s="86"/>
      <c r="AK862" s="86"/>
    </row>
    <row r="863">
      <c r="AE863" s="86"/>
      <c r="AF863" s="86"/>
      <c r="AG863" s="86"/>
      <c r="AI863" s="86"/>
      <c r="AJ863" s="86"/>
      <c r="AK863" s="86"/>
    </row>
    <row r="864">
      <c r="AE864" s="86"/>
      <c r="AF864" s="86"/>
      <c r="AG864" s="86"/>
      <c r="AI864" s="86"/>
      <c r="AJ864" s="86"/>
      <c r="AK864" s="86"/>
    </row>
    <row r="865">
      <c r="AE865" s="86"/>
      <c r="AF865" s="86"/>
      <c r="AG865" s="86"/>
      <c r="AI865" s="86"/>
      <c r="AJ865" s="86"/>
      <c r="AK865" s="86"/>
    </row>
    <row r="866">
      <c r="AE866" s="86"/>
      <c r="AF866" s="86"/>
      <c r="AG866" s="86"/>
      <c r="AI866" s="86"/>
      <c r="AJ866" s="86"/>
      <c r="AK866" s="86"/>
    </row>
    <row r="867">
      <c r="AE867" s="86"/>
      <c r="AF867" s="86"/>
      <c r="AG867" s="86"/>
      <c r="AI867" s="86"/>
      <c r="AJ867" s="86"/>
      <c r="AK867" s="86"/>
    </row>
    <row r="868">
      <c r="AE868" s="86"/>
      <c r="AF868" s="86"/>
      <c r="AG868" s="86"/>
      <c r="AI868" s="86"/>
      <c r="AJ868" s="86"/>
      <c r="AK868" s="86"/>
    </row>
    <row r="869">
      <c r="AE869" s="86"/>
      <c r="AF869" s="86"/>
      <c r="AG869" s="86"/>
      <c r="AI869" s="86"/>
      <c r="AJ869" s="86"/>
      <c r="AK869" s="86"/>
    </row>
    <row r="870">
      <c r="AE870" s="86"/>
      <c r="AF870" s="86"/>
      <c r="AG870" s="86"/>
      <c r="AI870" s="86"/>
      <c r="AJ870" s="86"/>
      <c r="AK870" s="86"/>
    </row>
    <row r="871">
      <c r="AE871" s="86"/>
      <c r="AF871" s="86"/>
      <c r="AG871" s="86"/>
      <c r="AI871" s="86"/>
      <c r="AJ871" s="86"/>
      <c r="AK871" s="86"/>
    </row>
    <row r="872">
      <c r="AE872" s="86"/>
      <c r="AF872" s="86"/>
      <c r="AG872" s="86"/>
      <c r="AI872" s="86"/>
      <c r="AJ872" s="86"/>
      <c r="AK872" s="86"/>
    </row>
    <row r="873">
      <c r="AE873" s="86"/>
      <c r="AF873" s="86"/>
      <c r="AG873" s="86"/>
      <c r="AI873" s="86"/>
      <c r="AJ873" s="86"/>
      <c r="AK873" s="86"/>
    </row>
    <row r="874">
      <c r="AE874" s="86"/>
      <c r="AF874" s="86"/>
      <c r="AG874" s="86"/>
      <c r="AI874" s="86"/>
      <c r="AJ874" s="86"/>
      <c r="AK874" s="86"/>
    </row>
    <row r="875">
      <c r="AE875" s="86"/>
      <c r="AF875" s="86"/>
      <c r="AG875" s="86"/>
      <c r="AI875" s="86"/>
      <c r="AJ875" s="86"/>
      <c r="AK875" s="86"/>
    </row>
    <row r="876">
      <c r="AE876" s="86"/>
      <c r="AF876" s="86"/>
      <c r="AG876" s="86"/>
      <c r="AI876" s="86"/>
      <c r="AJ876" s="86"/>
      <c r="AK876" s="86"/>
    </row>
    <row r="877">
      <c r="AE877" s="86"/>
      <c r="AF877" s="86"/>
      <c r="AG877" s="86"/>
      <c r="AI877" s="86"/>
      <c r="AJ877" s="86"/>
      <c r="AK877" s="86"/>
    </row>
    <row r="878">
      <c r="AE878" s="86"/>
      <c r="AF878" s="86"/>
      <c r="AG878" s="86"/>
      <c r="AI878" s="86"/>
      <c r="AJ878" s="86"/>
      <c r="AK878" s="86"/>
    </row>
    <row r="879">
      <c r="AE879" s="86"/>
      <c r="AF879" s="86"/>
      <c r="AG879" s="86"/>
      <c r="AI879" s="86"/>
      <c r="AJ879" s="86"/>
      <c r="AK879" s="86"/>
    </row>
    <row r="880">
      <c r="AE880" s="86"/>
      <c r="AF880" s="86"/>
      <c r="AG880" s="86"/>
      <c r="AI880" s="86"/>
      <c r="AJ880" s="86"/>
      <c r="AK880" s="86"/>
    </row>
    <row r="881">
      <c r="AE881" s="86"/>
      <c r="AF881" s="86"/>
      <c r="AG881" s="86"/>
      <c r="AI881" s="86"/>
      <c r="AJ881" s="86"/>
      <c r="AK881" s="86"/>
    </row>
    <row r="882">
      <c r="AE882" s="86"/>
      <c r="AF882" s="86"/>
      <c r="AG882" s="86"/>
      <c r="AI882" s="86"/>
      <c r="AJ882" s="86"/>
      <c r="AK882" s="86"/>
    </row>
    <row r="883">
      <c r="AE883" s="86"/>
      <c r="AF883" s="86"/>
      <c r="AG883" s="86"/>
      <c r="AI883" s="86"/>
      <c r="AJ883" s="86"/>
      <c r="AK883" s="86"/>
    </row>
    <row r="884">
      <c r="AE884" s="86"/>
      <c r="AF884" s="86"/>
      <c r="AG884" s="86"/>
      <c r="AI884" s="86"/>
      <c r="AJ884" s="86"/>
      <c r="AK884" s="86"/>
    </row>
    <row r="885">
      <c r="AE885" s="86"/>
      <c r="AF885" s="86"/>
      <c r="AG885" s="86"/>
      <c r="AI885" s="86"/>
      <c r="AJ885" s="86"/>
      <c r="AK885" s="86"/>
    </row>
    <row r="886">
      <c r="AE886" s="86"/>
      <c r="AF886" s="86"/>
      <c r="AG886" s="86"/>
      <c r="AI886" s="86"/>
      <c r="AJ886" s="86"/>
      <c r="AK886" s="86"/>
    </row>
    <row r="887">
      <c r="AE887" s="86"/>
      <c r="AF887" s="86"/>
      <c r="AG887" s="86"/>
      <c r="AI887" s="86"/>
      <c r="AJ887" s="86"/>
      <c r="AK887" s="86"/>
    </row>
    <row r="888">
      <c r="AE888" s="86"/>
      <c r="AF888" s="86"/>
      <c r="AG888" s="86"/>
      <c r="AI888" s="86"/>
      <c r="AJ888" s="86"/>
      <c r="AK888" s="86"/>
    </row>
    <row r="889">
      <c r="AE889" s="86"/>
      <c r="AF889" s="86"/>
      <c r="AG889" s="86"/>
      <c r="AI889" s="86"/>
      <c r="AJ889" s="86"/>
      <c r="AK889" s="86"/>
    </row>
    <row r="890">
      <c r="AE890" s="86"/>
      <c r="AF890" s="86"/>
      <c r="AG890" s="86"/>
      <c r="AI890" s="86"/>
      <c r="AJ890" s="86"/>
      <c r="AK890" s="86"/>
    </row>
    <row r="891">
      <c r="AE891" s="86"/>
      <c r="AF891" s="86"/>
      <c r="AG891" s="86"/>
      <c r="AI891" s="86"/>
      <c r="AJ891" s="86"/>
      <c r="AK891" s="86"/>
    </row>
    <row r="892">
      <c r="AE892" s="86"/>
      <c r="AF892" s="86"/>
      <c r="AG892" s="86"/>
      <c r="AI892" s="86"/>
      <c r="AJ892" s="86"/>
      <c r="AK892" s="86"/>
    </row>
    <row r="893">
      <c r="AE893" s="86"/>
      <c r="AF893" s="86"/>
      <c r="AG893" s="86"/>
      <c r="AI893" s="86"/>
      <c r="AJ893" s="86"/>
      <c r="AK893" s="86"/>
    </row>
    <row r="894">
      <c r="AE894" s="86"/>
      <c r="AF894" s="86"/>
      <c r="AG894" s="86"/>
      <c r="AI894" s="86"/>
      <c r="AJ894" s="86"/>
      <c r="AK894" s="86"/>
    </row>
    <row r="895">
      <c r="AE895" s="86"/>
      <c r="AF895" s="86"/>
      <c r="AG895" s="86"/>
      <c r="AI895" s="86"/>
      <c r="AJ895" s="86"/>
      <c r="AK895" s="86"/>
    </row>
    <row r="896">
      <c r="AE896" s="86"/>
      <c r="AF896" s="86"/>
      <c r="AG896" s="86"/>
      <c r="AI896" s="86"/>
      <c r="AJ896" s="86"/>
      <c r="AK896" s="86"/>
    </row>
    <row r="897">
      <c r="AE897" s="86"/>
      <c r="AF897" s="86"/>
      <c r="AG897" s="86"/>
      <c r="AI897" s="86"/>
      <c r="AJ897" s="86"/>
      <c r="AK897" s="86"/>
    </row>
    <row r="898">
      <c r="AE898" s="86"/>
      <c r="AF898" s="86"/>
      <c r="AG898" s="86"/>
      <c r="AI898" s="86"/>
      <c r="AJ898" s="86"/>
      <c r="AK898" s="86"/>
    </row>
    <row r="899">
      <c r="AE899" s="86"/>
      <c r="AF899" s="86"/>
      <c r="AG899" s="86"/>
      <c r="AI899" s="86"/>
      <c r="AJ899" s="86"/>
      <c r="AK899" s="86"/>
    </row>
    <row r="900">
      <c r="AE900" s="86"/>
      <c r="AF900" s="86"/>
      <c r="AG900" s="86"/>
      <c r="AI900" s="86"/>
      <c r="AJ900" s="86"/>
      <c r="AK900" s="86"/>
    </row>
    <row r="901">
      <c r="AE901" s="86"/>
      <c r="AF901" s="86"/>
      <c r="AG901" s="86"/>
      <c r="AI901" s="86"/>
      <c r="AJ901" s="86"/>
      <c r="AK901" s="86"/>
    </row>
    <row r="902">
      <c r="AE902" s="86"/>
      <c r="AF902" s="86"/>
      <c r="AG902" s="86"/>
      <c r="AI902" s="86"/>
      <c r="AJ902" s="86"/>
      <c r="AK902" s="86"/>
    </row>
    <row r="903">
      <c r="AE903" s="86"/>
      <c r="AF903" s="86"/>
      <c r="AG903" s="86"/>
      <c r="AI903" s="86"/>
      <c r="AJ903" s="86"/>
      <c r="AK903" s="86"/>
    </row>
    <row r="904">
      <c r="AE904" s="86"/>
      <c r="AF904" s="86"/>
      <c r="AG904" s="86"/>
      <c r="AI904" s="86"/>
      <c r="AJ904" s="86"/>
      <c r="AK904" s="86"/>
    </row>
    <row r="905">
      <c r="AE905" s="86"/>
      <c r="AF905" s="86"/>
      <c r="AG905" s="86"/>
      <c r="AI905" s="86"/>
      <c r="AJ905" s="86"/>
      <c r="AK905" s="86"/>
    </row>
    <row r="906">
      <c r="AE906" s="86"/>
      <c r="AF906" s="86"/>
      <c r="AG906" s="86"/>
      <c r="AI906" s="86"/>
      <c r="AJ906" s="86"/>
      <c r="AK906" s="86"/>
    </row>
    <row r="907">
      <c r="AE907" s="86"/>
      <c r="AF907" s="86"/>
      <c r="AG907" s="86"/>
      <c r="AI907" s="86"/>
      <c r="AJ907" s="86"/>
      <c r="AK907" s="86"/>
    </row>
    <row r="908">
      <c r="AE908" s="86"/>
      <c r="AF908" s="86"/>
      <c r="AG908" s="86"/>
      <c r="AI908" s="86"/>
      <c r="AJ908" s="86"/>
      <c r="AK908" s="86"/>
    </row>
    <row r="909">
      <c r="AE909" s="86"/>
      <c r="AF909" s="86"/>
      <c r="AG909" s="86"/>
      <c r="AI909" s="86"/>
      <c r="AJ909" s="86"/>
      <c r="AK909" s="86"/>
    </row>
    <row r="910">
      <c r="AE910" s="86"/>
      <c r="AF910" s="86"/>
      <c r="AG910" s="86"/>
      <c r="AI910" s="86"/>
      <c r="AJ910" s="86"/>
      <c r="AK910" s="86"/>
    </row>
    <row r="911">
      <c r="AE911" s="86"/>
      <c r="AF911" s="86"/>
      <c r="AG911" s="86"/>
      <c r="AI911" s="86"/>
      <c r="AJ911" s="86"/>
      <c r="AK911" s="86"/>
    </row>
    <row r="912">
      <c r="AE912" s="86"/>
      <c r="AF912" s="86"/>
      <c r="AG912" s="86"/>
      <c r="AI912" s="86"/>
      <c r="AJ912" s="86"/>
      <c r="AK912" s="86"/>
    </row>
    <row r="913">
      <c r="AE913" s="86"/>
      <c r="AF913" s="86"/>
      <c r="AG913" s="86"/>
      <c r="AI913" s="86"/>
      <c r="AJ913" s="86"/>
      <c r="AK913" s="86"/>
    </row>
    <row r="914">
      <c r="AE914" s="86"/>
      <c r="AF914" s="86"/>
      <c r="AG914" s="86"/>
      <c r="AI914" s="86"/>
      <c r="AJ914" s="86"/>
      <c r="AK914" s="86"/>
    </row>
    <row r="915">
      <c r="AE915" s="86"/>
      <c r="AF915" s="86"/>
      <c r="AG915" s="86"/>
      <c r="AI915" s="86"/>
      <c r="AJ915" s="86"/>
      <c r="AK915" s="86"/>
    </row>
    <row r="916">
      <c r="AE916" s="86"/>
      <c r="AF916" s="86"/>
      <c r="AG916" s="86"/>
      <c r="AI916" s="86"/>
      <c r="AJ916" s="86"/>
      <c r="AK916" s="86"/>
    </row>
    <row r="917">
      <c r="AE917" s="86"/>
      <c r="AF917" s="86"/>
      <c r="AG917" s="86"/>
      <c r="AI917" s="86"/>
      <c r="AJ917" s="86"/>
      <c r="AK917" s="86"/>
    </row>
    <row r="918">
      <c r="AE918" s="86"/>
      <c r="AF918" s="86"/>
      <c r="AG918" s="86"/>
      <c r="AI918" s="86"/>
      <c r="AJ918" s="86"/>
      <c r="AK918" s="86"/>
    </row>
    <row r="919">
      <c r="AE919" s="86"/>
      <c r="AF919" s="86"/>
      <c r="AG919" s="86"/>
      <c r="AI919" s="86"/>
      <c r="AJ919" s="86"/>
      <c r="AK919" s="86"/>
    </row>
    <row r="920">
      <c r="AE920" s="86"/>
      <c r="AF920" s="86"/>
      <c r="AG920" s="86"/>
      <c r="AI920" s="86"/>
      <c r="AJ920" s="86"/>
      <c r="AK920" s="86"/>
    </row>
    <row r="921">
      <c r="AE921" s="86"/>
      <c r="AF921" s="86"/>
      <c r="AG921" s="86"/>
      <c r="AI921" s="86"/>
      <c r="AJ921" s="86"/>
      <c r="AK921" s="86"/>
    </row>
    <row r="922">
      <c r="AE922" s="86"/>
      <c r="AF922" s="86"/>
      <c r="AG922" s="86"/>
      <c r="AI922" s="86"/>
      <c r="AJ922" s="86"/>
      <c r="AK922" s="86"/>
    </row>
    <row r="923">
      <c r="AE923" s="86"/>
      <c r="AF923" s="86"/>
      <c r="AG923" s="86"/>
      <c r="AI923" s="86"/>
      <c r="AJ923" s="86"/>
      <c r="AK923" s="86"/>
    </row>
    <row r="924">
      <c r="AE924" s="86"/>
      <c r="AF924" s="86"/>
      <c r="AG924" s="86"/>
      <c r="AI924" s="86"/>
      <c r="AJ924" s="86"/>
      <c r="AK924" s="86"/>
    </row>
    <row r="925">
      <c r="AE925" s="86"/>
      <c r="AF925" s="86"/>
      <c r="AG925" s="86"/>
      <c r="AI925" s="86"/>
      <c r="AJ925" s="86"/>
      <c r="AK925" s="86"/>
    </row>
    <row r="926">
      <c r="AE926" s="86"/>
      <c r="AF926" s="86"/>
      <c r="AG926" s="86"/>
      <c r="AI926" s="86"/>
      <c r="AJ926" s="86"/>
      <c r="AK926" s="86"/>
    </row>
    <row r="927">
      <c r="AE927" s="86"/>
      <c r="AF927" s="86"/>
      <c r="AG927" s="86"/>
      <c r="AI927" s="86"/>
      <c r="AJ927" s="86"/>
      <c r="AK927" s="86"/>
    </row>
    <row r="928">
      <c r="AE928" s="86"/>
      <c r="AF928" s="86"/>
      <c r="AG928" s="86"/>
      <c r="AI928" s="86"/>
      <c r="AJ928" s="86"/>
      <c r="AK928" s="86"/>
    </row>
    <row r="929">
      <c r="AE929" s="86"/>
      <c r="AF929" s="86"/>
      <c r="AG929" s="86"/>
      <c r="AI929" s="86"/>
      <c r="AJ929" s="86"/>
      <c r="AK929" s="86"/>
    </row>
    <row r="930">
      <c r="AE930" s="86"/>
      <c r="AF930" s="86"/>
      <c r="AG930" s="86"/>
      <c r="AI930" s="86"/>
      <c r="AJ930" s="86"/>
      <c r="AK930" s="86"/>
    </row>
    <row r="931">
      <c r="AE931" s="86"/>
      <c r="AF931" s="86"/>
      <c r="AG931" s="86"/>
      <c r="AI931" s="86"/>
      <c r="AJ931" s="86"/>
      <c r="AK931" s="86"/>
    </row>
    <row r="932">
      <c r="AE932" s="86"/>
      <c r="AF932" s="86"/>
      <c r="AG932" s="86"/>
      <c r="AI932" s="86"/>
      <c r="AJ932" s="86"/>
      <c r="AK932" s="86"/>
    </row>
    <row r="933">
      <c r="AE933" s="86"/>
      <c r="AF933" s="86"/>
      <c r="AG933" s="86"/>
      <c r="AI933" s="86"/>
      <c r="AJ933" s="86"/>
      <c r="AK933" s="86"/>
    </row>
    <row r="934">
      <c r="AE934" s="86"/>
      <c r="AF934" s="86"/>
      <c r="AG934" s="86"/>
      <c r="AI934" s="86"/>
      <c r="AJ934" s="86"/>
      <c r="AK934" s="86"/>
    </row>
    <row r="935">
      <c r="AE935" s="86"/>
      <c r="AF935" s="86"/>
      <c r="AG935" s="86"/>
      <c r="AI935" s="86"/>
      <c r="AJ935" s="86"/>
      <c r="AK935" s="86"/>
    </row>
    <row r="936">
      <c r="AE936" s="86"/>
      <c r="AF936" s="86"/>
      <c r="AG936" s="86"/>
      <c r="AI936" s="86"/>
      <c r="AJ936" s="86"/>
      <c r="AK936" s="86"/>
    </row>
    <row r="937">
      <c r="AE937" s="86"/>
      <c r="AF937" s="86"/>
      <c r="AG937" s="86"/>
      <c r="AI937" s="86"/>
      <c r="AJ937" s="86"/>
      <c r="AK937" s="86"/>
    </row>
    <row r="938">
      <c r="AE938" s="86"/>
      <c r="AF938" s="86"/>
      <c r="AG938" s="86"/>
      <c r="AI938" s="86"/>
      <c r="AJ938" s="86"/>
      <c r="AK938" s="86"/>
    </row>
    <row r="939">
      <c r="AE939" s="86"/>
      <c r="AF939" s="86"/>
      <c r="AG939" s="86"/>
      <c r="AI939" s="86"/>
      <c r="AJ939" s="86"/>
      <c r="AK939" s="86"/>
    </row>
    <row r="940">
      <c r="AE940" s="86"/>
      <c r="AF940" s="86"/>
      <c r="AG940" s="86"/>
      <c r="AI940" s="86"/>
      <c r="AJ940" s="86"/>
      <c r="AK940" s="86"/>
    </row>
    <row r="941">
      <c r="AE941" s="86"/>
      <c r="AF941" s="86"/>
      <c r="AG941" s="86"/>
      <c r="AI941" s="86"/>
      <c r="AJ941" s="86"/>
      <c r="AK941" s="86"/>
    </row>
    <row r="942">
      <c r="AE942" s="86"/>
      <c r="AF942" s="86"/>
      <c r="AG942" s="86"/>
      <c r="AI942" s="86"/>
      <c r="AJ942" s="86"/>
      <c r="AK942" s="86"/>
    </row>
    <row r="943">
      <c r="AE943" s="86"/>
      <c r="AF943" s="86"/>
      <c r="AG943" s="86"/>
      <c r="AI943" s="86"/>
      <c r="AJ943" s="86"/>
      <c r="AK943" s="86"/>
    </row>
    <row r="944">
      <c r="AE944" s="86"/>
      <c r="AF944" s="86"/>
      <c r="AG944" s="86"/>
      <c r="AI944" s="86"/>
      <c r="AJ944" s="86"/>
      <c r="AK944" s="86"/>
    </row>
    <row r="945">
      <c r="AE945" s="86"/>
      <c r="AF945" s="86"/>
      <c r="AG945" s="86"/>
      <c r="AI945" s="86"/>
      <c r="AJ945" s="86"/>
      <c r="AK945" s="86"/>
    </row>
    <row r="946">
      <c r="AE946" s="86"/>
      <c r="AF946" s="86"/>
      <c r="AG946" s="86"/>
      <c r="AI946" s="86"/>
      <c r="AJ946" s="86"/>
      <c r="AK946" s="86"/>
    </row>
    <row r="947">
      <c r="AE947" s="86"/>
      <c r="AF947" s="86"/>
      <c r="AG947" s="86"/>
      <c r="AI947" s="86"/>
      <c r="AJ947" s="86"/>
      <c r="AK947" s="86"/>
    </row>
    <row r="948">
      <c r="AE948" s="86"/>
      <c r="AF948" s="86"/>
      <c r="AG948" s="86"/>
      <c r="AI948" s="86"/>
      <c r="AJ948" s="86"/>
      <c r="AK948" s="86"/>
    </row>
    <row r="949">
      <c r="AE949" s="86"/>
      <c r="AF949" s="86"/>
      <c r="AG949" s="86"/>
      <c r="AI949" s="86"/>
      <c r="AJ949" s="86"/>
      <c r="AK949" s="86"/>
    </row>
    <row r="950">
      <c r="AE950" s="86"/>
      <c r="AF950" s="86"/>
      <c r="AG950" s="86"/>
      <c r="AI950" s="86"/>
      <c r="AJ950" s="86"/>
      <c r="AK950" s="86"/>
    </row>
    <row r="951">
      <c r="AE951" s="86"/>
      <c r="AF951" s="86"/>
      <c r="AG951" s="86"/>
      <c r="AI951" s="86"/>
      <c r="AJ951" s="86"/>
      <c r="AK951" s="86"/>
    </row>
    <row r="952">
      <c r="AE952" s="86"/>
      <c r="AF952" s="86"/>
      <c r="AG952" s="86"/>
      <c r="AI952" s="86"/>
      <c r="AJ952" s="86"/>
      <c r="AK952" s="86"/>
    </row>
    <row r="953">
      <c r="AE953" s="86"/>
      <c r="AF953" s="86"/>
      <c r="AG953" s="86"/>
      <c r="AI953" s="86"/>
      <c r="AJ953" s="86"/>
      <c r="AK953" s="86"/>
    </row>
    <row r="954">
      <c r="AE954" s="86"/>
      <c r="AF954" s="86"/>
      <c r="AG954" s="86"/>
      <c r="AI954" s="86"/>
      <c r="AJ954" s="86"/>
      <c r="AK954" s="86"/>
    </row>
    <row r="955">
      <c r="AE955" s="86"/>
      <c r="AF955" s="86"/>
      <c r="AG955" s="86"/>
      <c r="AI955" s="86"/>
      <c r="AJ955" s="86"/>
      <c r="AK955" s="86"/>
    </row>
    <row r="956">
      <c r="AE956" s="86"/>
      <c r="AF956" s="86"/>
      <c r="AG956" s="86"/>
      <c r="AI956" s="86"/>
      <c r="AJ956" s="86"/>
      <c r="AK956" s="86"/>
    </row>
    <row r="957">
      <c r="AE957" s="86"/>
      <c r="AF957" s="86"/>
      <c r="AG957" s="86"/>
      <c r="AI957" s="86"/>
      <c r="AJ957" s="86"/>
      <c r="AK957" s="86"/>
    </row>
    <row r="958">
      <c r="AE958" s="86"/>
      <c r="AF958" s="86"/>
      <c r="AG958" s="86"/>
      <c r="AI958" s="86"/>
      <c r="AJ958" s="86"/>
      <c r="AK958" s="86"/>
    </row>
    <row r="959">
      <c r="AE959" s="86"/>
      <c r="AF959" s="86"/>
      <c r="AG959" s="86"/>
      <c r="AI959" s="86"/>
      <c r="AJ959" s="86"/>
      <c r="AK959" s="86"/>
    </row>
    <row r="960">
      <c r="AE960" s="86"/>
      <c r="AF960" s="86"/>
      <c r="AG960" s="86"/>
      <c r="AI960" s="86"/>
      <c r="AJ960" s="86"/>
      <c r="AK960" s="86"/>
    </row>
    <row r="961">
      <c r="AE961" s="86"/>
      <c r="AF961" s="86"/>
      <c r="AG961" s="86"/>
      <c r="AI961" s="86"/>
      <c r="AJ961" s="86"/>
      <c r="AK961" s="86"/>
    </row>
    <row r="962">
      <c r="AE962" s="86"/>
      <c r="AF962" s="86"/>
      <c r="AG962" s="86"/>
      <c r="AI962" s="86"/>
      <c r="AJ962" s="86"/>
      <c r="AK962" s="86"/>
    </row>
    <row r="963">
      <c r="AE963" s="86"/>
      <c r="AF963" s="86"/>
      <c r="AG963" s="86"/>
      <c r="AI963" s="86"/>
      <c r="AJ963" s="86"/>
      <c r="AK963" s="86"/>
    </row>
    <row r="964">
      <c r="AE964" s="86"/>
      <c r="AF964" s="86"/>
      <c r="AG964" s="86"/>
      <c r="AI964" s="86"/>
      <c r="AJ964" s="86"/>
      <c r="AK964" s="86"/>
    </row>
    <row r="965">
      <c r="AE965" s="86"/>
      <c r="AF965" s="86"/>
      <c r="AG965" s="86"/>
      <c r="AI965" s="86"/>
      <c r="AJ965" s="86"/>
      <c r="AK965" s="86"/>
    </row>
    <row r="966">
      <c r="AE966" s="86"/>
      <c r="AF966" s="86"/>
      <c r="AG966" s="86"/>
      <c r="AI966" s="86"/>
      <c r="AJ966" s="86"/>
      <c r="AK966" s="86"/>
    </row>
    <row r="967">
      <c r="AE967" s="86"/>
      <c r="AF967" s="86"/>
      <c r="AG967" s="86"/>
      <c r="AI967" s="86"/>
      <c r="AJ967" s="86"/>
      <c r="AK967" s="86"/>
    </row>
    <row r="968">
      <c r="AE968" s="86"/>
      <c r="AF968" s="86"/>
      <c r="AG968" s="86"/>
      <c r="AI968" s="86"/>
      <c r="AJ968" s="86"/>
      <c r="AK968" s="86"/>
    </row>
    <row r="969">
      <c r="AE969" s="86"/>
      <c r="AF969" s="86"/>
      <c r="AG969" s="86"/>
      <c r="AI969" s="86"/>
      <c r="AJ969" s="86"/>
      <c r="AK969" s="86"/>
    </row>
    <row r="970">
      <c r="AE970" s="86"/>
      <c r="AF970" s="86"/>
      <c r="AG970" s="86"/>
      <c r="AI970" s="86"/>
      <c r="AJ970" s="86"/>
      <c r="AK970" s="86"/>
    </row>
    <row r="971">
      <c r="AE971" s="86"/>
      <c r="AF971" s="86"/>
      <c r="AG971" s="86"/>
      <c r="AI971" s="86"/>
      <c r="AJ971" s="86"/>
      <c r="AK971" s="86"/>
    </row>
    <row r="972">
      <c r="AE972" s="86"/>
      <c r="AF972" s="86"/>
      <c r="AG972" s="86"/>
      <c r="AI972" s="86"/>
      <c r="AJ972" s="86"/>
      <c r="AK972" s="86"/>
    </row>
    <row r="973">
      <c r="AE973" s="86"/>
      <c r="AF973" s="86"/>
      <c r="AG973" s="86"/>
      <c r="AI973" s="86"/>
      <c r="AJ973" s="86"/>
      <c r="AK973" s="86"/>
    </row>
    <row r="974">
      <c r="AE974" s="86"/>
      <c r="AF974" s="86"/>
      <c r="AG974" s="86"/>
      <c r="AI974" s="86"/>
      <c r="AJ974" s="86"/>
      <c r="AK974" s="86"/>
    </row>
    <row r="975">
      <c r="AE975" s="86"/>
      <c r="AF975" s="86"/>
      <c r="AG975" s="86"/>
      <c r="AI975" s="86"/>
      <c r="AJ975" s="86"/>
      <c r="AK975" s="86"/>
    </row>
    <row r="976">
      <c r="AE976" s="86"/>
      <c r="AF976" s="86"/>
      <c r="AG976" s="86"/>
      <c r="AI976" s="86"/>
      <c r="AJ976" s="86"/>
      <c r="AK976" s="86"/>
    </row>
    <row r="977">
      <c r="AE977" s="86"/>
      <c r="AF977" s="86"/>
      <c r="AG977" s="86"/>
      <c r="AI977" s="86"/>
      <c r="AJ977" s="86"/>
      <c r="AK977" s="86"/>
    </row>
    <row r="978">
      <c r="AE978" s="86"/>
      <c r="AF978" s="86"/>
      <c r="AG978" s="86"/>
      <c r="AI978" s="86"/>
      <c r="AJ978" s="86"/>
      <c r="AK978" s="86"/>
    </row>
    <row r="979">
      <c r="AE979" s="86"/>
      <c r="AF979" s="86"/>
      <c r="AG979" s="86"/>
      <c r="AI979" s="86"/>
      <c r="AJ979" s="86"/>
      <c r="AK979" s="86"/>
    </row>
    <row r="980">
      <c r="AE980" s="86"/>
      <c r="AF980" s="86"/>
      <c r="AG980" s="86"/>
      <c r="AI980" s="86"/>
      <c r="AJ980" s="86"/>
      <c r="AK980" s="86"/>
    </row>
    <row r="981">
      <c r="AE981" s="86"/>
      <c r="AF981" s="86"/>
      <c r="AG981" s="86"/>
      <c r="AI981" s="86"/>
      <c r="AJ981" s="86"/>
      <c r="AK981" s="86"/>
    </row>
    <row r="982">
      <c r="AE982" s="86"/>
      <c r="AF982" s="86"/>
      <c r="AG982" s="86"/>
      <c r="AI982" s="86"/>
      <c r="AJ982" s="86"/>
      <c r="AK982" s="86"/>
    </row>
    <row r="983">
      <c r="AE983" s="86"/>
      <c r="AF983" s="86"/>
      <c r="AG983" s="86"/>
      <c r="AI983" s="86"/>
      <c r="AJ983" s="86"/>
      <c r="AK983" s="86"/>
    </row>
    <row r="984">
      <c r="AE984" s="86"/>
      <c r="AF984" s="86"/>
      <c r="AG984" s="86"/>
      <c r="AI984" s="86"/>
      <c r="AJ984" s="86"/>
      <c r="AK984" s="86"/>
    </row>
    <row r="985">
      <c r="AE985" s="86"/>
      <c r="AF985" s="86"/>
      <c r="AG985" s="86"/>
      <c r="AI985" s="86"/>
      <c r="AJ985" s="86"/>
      <c r="AK985" s="86"/>
    </row>
    <row r="986">
      <c r="AE986" s="86"/>
      <c r="AF986" s="86"/>
      <c r="AG986" s="86"/>
      <c r="AI986" s="86"/>
      <c r="AJ986" s="86"/>
      <c r="AK986" s="86"/>
    </row>
    <row r="987">
      <c r="AE987" s="86"/>
      <c r="AF987" s="86"/>
      <c r="AG987" s="86"/>
      <c r="AI987" s="86"/>
      <c r="AJ987" s="86"/>
      <c r="AK987" s="86"/>
    </row>
    <row r="988">
      <c r="AE988" s="86"/>
      <c r="AF988" s="86"/>
      <c r="AG988" s="86"/>
      <c r="AI988" s="86"/>
      <c r="AJ988" s="86"/>
      <c r="AK988" s="86"/>
    </row>
    <row r="989">
      <c r="AE989" s="86"/>
      <c r="AF989" s="86"/>
      <c r="AG989" s="86"/>
      <c r="AI989" s="86"/>
      <c r="AJ989" s="86"/>
      <c r="AK989" s="86"/>
    </row>
    <row r="990">
      <c r="AE990" s="86"/>
      <c r="AF990" s="86"/>
      <c r="AG990" s="86"/>
      <c r="AI990" s="86"/>
      <c r="AJ990" s="86"/>
      <c r="AK990" s="86"/>
    </row>
    <row r="991">
      <c r="AE991" s="86"/>
      <c r="AF991" s="86"/>
      <c r="AG991" s="86"/>
      <c r="AI991" s="86"/>
      <c r="AJ991" s="86"/>
      <c r="AK991" s="86"/>
    </row>
    <row r="992">
      <c r="AE992" s="86"/>
      <c r="AF992" s="86"/>
      <c r="AG992" s="86"/>
      <c r="AI992" s="86"/>
      <c r="AJ992" s="86"/>
      <c r="AK992" s="86"/>
    </row>
    <row r="993">
      <c r="AE993" s="86"/>
      <c r="AF993" s="86"/>
      <c r="AG993" s="86"/>
      <c r="AI993" s="86"/>
      <c r="AJ993" s="86"/>
      <c r="AK993" s="86"/>
    </row>
    <row r="994">
      <c r="AE994" s="86"/>
      <c r="AF994" s="86"/>
      <c r="AG994" s="86"/>
      <c r="AI994" s="86"/>
      <c r="AJ994" s="86"/>
      <c r="AK994" s="86"/>
    </row>
    <row r="995">
      <c r="AE995" s="86"/>
      <c r="AF995" s="86"/>
      <c r="AG995" s="86"/>
      <c r="AI995" s="86"/>
      <c r="AJ995" s="86"/>
      <c r="AK995" s="86"/>
    </row>
    <row r="996">
      <c r="AE996" s="86"/>
      <c r="AF996" s="86"/>
      <c r="AG996" s="86"/>
      <c r="AI996" s="86"/>
      <c r="AJ996" s="86"/>
      <c r="AK996" s="86"/>
    </row>
    <row r="997">
      <c r="AE997" s="86"/>
      <c r="AF997" s="86"/>
      <c r="AG997" s="86"/>
      <c r="AI997" s="86"/>
      <c r="AJ997" s="86"/>
      <c r="AK997" s="86"/>
    </row>
    <row r="998">
      <c r="AE998" s="86"/>
      <c r="AF998" s="86"/>
      <c r="AG998" s="86"/>
      <c r="AI998" s="86"/>
      <c r="AJ998" s="86"/>
      <c r="AK998" s="86"/>
    </row>
    <row r="999">
      <c r="AE999" s="86"/>
      <c r="AF999" s="86"/>
      <c r="AG999" s="86"/>
      <c r="AI999" s="86"/>
      <c r="AJ999" s="86"/>
      <c r="AK999" s="86"/>
    </row>
    <row r="1000">
      <c r="AE1000" s="86"/>
      <c r="AF1000" s="86"/>
      <c r="AG1000" s="86"/>
      <c r="AI1000" s="86"/>
      <c r="AJ1000" s="86"/>
      <c r="AK1000" s="86"/>
    </row>
  </sheetData>
  <mergeCells count="12">
    <mergeCell ref="AE3:AF3"/>
    <mergeCell ref="AI3:AJ3"/>
    <mergeCell ref="AM3:AN3"/>
    <mergeCell ref="AQ3:AR3"/>
    <mergeCell ref="AU3:AV3"/>
    <mergeCell ref="C3:D3"/>
    <mergeCell ref="G3:H3"/>
    <mergeCell ref="K3:L3"/>
    <mergeCell ref="O3:P3"/>
    <mergeCell ref="S3:T3"/>
    <mergeCell ref="W3:X3"/>
    <mergeCell ref="AA3:AB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  <col customWidth="1" min="3" max="3" width="10.25"/>
    <col customWidth="1" min="5" max="5" width="15.75"/>
    <col customWidth="1" min="6" max="6" width="13.88"/>
    <col customWidth="1" min="7" max="7" width="10.25"/>
    <col customWidth="1" min="9" max="9" width="15.75"/>
    <col customWidth="1" min="10" max="10" width="13.88"/>
    <col customWidth="1" min="11" max="11" width="10.25"/>
    <col customWidth="1" min="13" max="13" width="15.75"/>
    <col customWidth="1" min="14" max="14" width="13.88"/>
    <col customWidth="1" min="15" max="15" width="10.25"/>
    <col customWidth="1" min="17" max="17" width="15.75"/>
    <col customWidth="1" min="18" max="18" width="13.88"/>
    <col customWidth="1" min="19" max="19" width="10.25"/>
    <col customWidth="1" min="21" max="21" width="15.75"/>
    <col customWidth="1" min="22" max="22" width="13.88"/>
    <col customWidth="1" min="23" max="23" width="10.25"/>
    <col customWidth="1" min="25" max="25" width="15.75"/>
    <col customWidth="1" min="26" max="26" width="13.88"/>
    <col customWidth="1" min="27" max="27" width="10.25"/>
    <col customWidth="1" min="29" max="29" width="15.75"/>
    <col customWidth="1" min="30" max="30" width="13.88"/>
    <col customWidth="1" min="31" max="31" width="10.25"/>
    <col customWidth="1" min="33" max="33" width="15.75"/>
    <col customWidth="1" min="34" max="34" width="13.88"/>
    <col customWidth="1" min="35" max="35" width="10.25"/>
    <col customWidth="1" min="37" max="37" width="15.75"/>
    <col customWidth="1" min="38" max="38" width="13.88"/>
    <col customWidth="1" min="39" max="39" width="10.25"/>
    <col customWidth="1" min="41" max="41" width="15.75"/>
    <col customWidth="1" min="42" max="42" width="13.88"/>
    <col customWidth="1" min="43" max="43" width="10.25"/>
    <col customWidth="1" min="45" max="45" width="15.75"/>
    <col customWidth="1" min="46" max="46" width="13.88"/>
    <col customWidth="1" min="47" max="47" width="10.25"/>
  </cols>
  <sheetData>
    <row r="1">
      <c r="A1" s="1" t="s">
        <v>62</v>
      </c>
      <c r="E1" s="1" t="s">
        <v>63</v>
      </c>
      <c r="I1" s="1" t="s">
        <v>64</v>
      </c>
      <c r="M1" s="1" t="s">
        <v>65</v>
      </c>
      <c r="Q1" s="1" t="s">
        <v>102</v>
      </c>
      <c r="U1" s="1" t="s">
        <v>103</v>
      </c>
      <c r="Y1" s="1" t="s">
        <v>104</v>
      </c>
      <c r="AC1" s="1" t="s">
        <v>105</v>
      </c>
      <c r="AG1" s="1" t="s">
        <v>106</v>
      </c>
      <c r="AK1" s="1" t="s">
        <v>107</v>
      </c>
      <c r="AO1" s="1" t="s">
        <v>108</v>
      </c>
      <c r="AS1" s="1" t="s">
        <v>109</v>
      </c>
    </row>
    <row r="2">
      <c r="AK2" s="86"/>
      <c r="AL2" s="86"/>
      <c r="AM2" s="86"/>
    </row>
    <row r="3">
      <c r="A3" s="56" t="s">
        <v>101</v>
      </c>
      <c r="B3" s="57"/>
      <c r="C3" s="170"/>
      <c r="E3" s="56" t="s">
        <v>101</v>
      </c>
      <c r="F3" s="57"/>
      <c r="G3" s="58"/>
      <c r="I3" s="56" t="s">
        <v>101</v>
      </c>
      <c r="J3" s="57"/>
      <c r="K3" s="58"/>
      <c r="M3" s="56" t="s">
        <v>101</v>
      </c>
      <c r="N3" s="57"/>
      <c r="O3" s="170"/>
      <c r="Q3" s="56" t="s">
        <v>101</v>
      </c>
      <c r="R3" s="57"/>
      <c r="S3" s="58"/>
      <c r="U3" s="56" t="s">
        <v>101</v>
      </c>
      <c r="V3" s="57"/>
      <c r="W3" s="58"/>
      <c r="Y3" s="56" t="s">
        <v>101</v>
      </c>
      <c r="Z3" s="57"/>
      <c r="AA3" s="58"/>
      <c r="AC3" s="56" t="s">
        <v>101</v>
      </c>
      <c r="AD3" s="57"/>
      <c r="AE3" s="58"/>
      <c r="AG3" s="56" t="s">
        <v>101</v>
      </c>
      <c r="AH3" s="57"/>
      <c r="AI3" s="58"/>
      <c r="AK3" s="56" t="s">
        <v>101</v>
      </c>
      <c r="AL3" s="57"/>
      <c r="AM3" s="58"/>
      <c r="AO3" s="56" t="s">
        <v>101</v>
      </c>
      <c r="AP3" s="57"/>
      <c r="AQ3" s="58"/>
      <c r="AS3" s="56" t="s">
        <v>101</v>
      </c>
      <c r="AT3" s="57"/>
      <c r="AU3" s="58"/>
    </row>
    <row r="4">
      <c r="A4" s="59" t="s">
        <v>67</v>
      </c>
      <c r="B4" s="60">
        <v>1.2922095E7</v>
      </c>
      <c r="C4" s="170"/>
      <c r="E4" s="59" t="s">
        <v>67</v>
      </c>
      <c r="F4" s="60">
        <v>1.0978262E7</v>
      </c>
      <c r="G4" s="58"/>
      <c r="I4" s="59" t="s">
        <v>67</v>
      </c>
      <c r="J4" s="60">
        <v>1.146116E7</v>
      </c>
      <c r="K4" s="58"/>
      <c r="M4" s="59" t="s">
        <v>67</v>
      </c>
      <c r="N4" s="60">
        <v>1.1150387E7</v>
      </c>
      <c r="O4" s="170"/>
      <c r="Q4" s="59" t="s">
        <v>67</v>
      </c>
      <c r="R4" s="60">
        <v>1.0721919E7</v>
      </c>
      <c r="S4" s="58"/>
      <c r="U4" s="59" t="s">
        <v>67</v>
      </c>
      <c r="V4" s="60">
        <v>1.0871344E7</v>
      </c>
      <c r="W4" s="58"/>
      <c r="Y4" s="59" t="s">
        <v>67</v>
      </c>
      <c r="Z4" s="60">
        <v>1.146338E7</v>
      </c>
      <c r="AA4" s="58"/>
      <c r="AC4" s="59" t="s">
        <v>67</v>
      </c>
      <c r="AD4" s="60">
        <v>1.1021381E7</v>
      </c>
      <c r="AE4" s="58"/>
      <c r="AG4" s="59" t="s">
        <v>67</v>
      </c>
      <c r="AH4" s="60">
        <v>1.035829E7</v>
      </c>
      <c r="AI4" s="58"/>
      <c r="AK4" s="59" t="s">
        <v>67</v>
      </c>
      <c r="AL4" s="60">
        <v>1.0823579E7</v>
      </c>
      <c r="AM4" s="58"/>
      <c r="AO4" s="59" t="s">
        <v>67</v>
      </c>
      <c r="AP4" s="60">
        <v>1.1230688E7</v>
      </c>
      <c r="AQ4" s="58"/>
      <c r="AS4" s="59" t="s">
        <v>67</v>
      </c>
      <c r="AT4" s="60">
        <v>1.3888855E7</v>
      </c>
      <c r="AU4" s="58"/>
    </row>
    <row r="5">
      <c r="A5" s="59" t="s">
        <v>68</v>
      </c>
      <c r="B5" s="60">
        <v>1.0508096E7</v>
      </c>
      <c r="C5" s="173"/>
      <c r="E5" s="59" t="s">
        <v>68</v>
      </c>
      <c r="F5" s="60">
        <v>9342407.0</v>
      </c>
      <c r="G5" s="61"/>
      <c r="I5" s="59" t="s">
        <v>68</v>
      </c>
      <c r="J5" s="60">
        <v>1.0343386E7</v>
      </c>
      <c r="K5" s="61"/>
      <c r="M5" s="59" t="s">
        <v>68</v>
      </c>
      <c r="N5" s="60">
        <v>1.1090624E7</v>
      </c>
      <c r="O5" s="173"/>
      <c r="Q5" s="59" t="s">
        <v>68</v>
      </c>
      <c r="R5" s="60">
        <v>1.1878547E7</v>
      </c>
      <c r="S5" s="61"/>
      <c r="U5" s="59" t="s">
        <v>68</v>
      </c>
      <c r="V5" s="60">
        <v>1.1478949E7</v>
      </c>
      <c r="W5" s="61"/>
      <c r="Y5" s="59" t="s">
        <v>68</v>
      </c>
      <c r="Z5" s="60">
        <v>1.1804471E7</v>
      </c>
      <c r="AA5" s="61"/>
      <c r="AC5" s="59" t="s">
        <v>68</v>
      </c>
      <c r="AD5" s="60">
        <v>1.1758843E7</v>
      </c>
      <c r="AE5" s="61"/>
      <c r="AG5" s="59" t="s">
        <v>68</v>
      </c>
      <c r="AH5" s="60">
        <v>1.1356951E7</v>
      </c>
      <c r="AI5" s="61"/>
      <c r="AK5" s="59" t="s">
        <v>68</v>
      </c>
      <c r="AL5" s="60">
        <v>1.2539082E7</v>
      </c>
      <c r="AM5" s="61"/>
      <c r="AO5" s="59" t="s">
        <v>68</v>
      </c>
      <c r="AP5" s="60">
        <v>1.1491602E7</v>
      </c>
      <c r="AQ5" s="61"/>
      <c r="AS5" s="59" t="s">
        <v>68</v>
      </c>
      <c r="AT5" s="60">
        <v>1.556458E7</v>
      </c>
      <c r="AU5" s="61"/>
    </row>
    <row r="6">
      <c r="A6" s="59" t="s">
        <v>69</v>
      </c>
      <c r="B6" s="64">
        <v>2413999.0</v>
      </c>
      <c r="C6" s="65">
        <v>0.2297</v>
      </c>
      <c r="E6" s="59" t="s">
        <v>69</v>
      </c>
      <c r="F6" s="64">
        <v>1635855.0</v>
      </c>
      <c r="G6" s="65">
        <v>0.1751</v>
      </c>
      <c r="I6" s="59" t="s">
        <v>69</v>
      </c>
      <c r="J6" s="64">
        <v>1117774.0</v>
      </c>
      <c r="K6" s="65">
        <v>0.1081</v>
      </c>
      <c r="M6" s="59" t="s">
        <v>69</v>
      </c>
      <c r="N6" s="64">
        <v>59763.0</v>
      </c>
      <c r="O6" s="65">
        <v>0.0054</v>
      </c>
      <c r="Q6" s="59" t="s">
        <v>69</v>
      </c>
      <c r="R6" s="62">
        <v>-1156628.0</v>
      </c>
      <c r="S6" s="63">
        <v>-0.0974</v>
      </c>
      <c r="U6" s="59" t="s">
        <v>69</v>
      </c>
      <c r="V6" s="62">
        <v>-607606.0</v>
      </c>
      <c r="W6" s="63">
        <v>-0.0529</v>
      </c>
      <c r="Y6" s="59" t="s">
        <v>69</v>
      </c>
      <c r="Z6" s="62">
        <v>-341091.0</v>
      </c>
      <c r="AA6" s="63">
        <v>-0.0289</v>
      </c>
      <c r="AC6" s="59" t="s">
        <v>69</v>
      </c>
      <c r="AD6" s="62">
        <v>-737462.0</v>
      </c>
      <c r="AE6" s="63">
        <v>-0.0627</v>
      </c>
      <c r="AG6" s="59" t="s">
        <v>69</v>
      </c>
      <c r="AH6" s="62">
        <v>-998661.0</v>
      </c>
      <c r="AI6" s="63">
        <v>-0.0879</v>
      </c>
      <c r="AK6" s="59" t="s">
        <v>69</v>
      </c>
      <c r="AL6" s="62">
        <v>-1715503.0</v>
      </c>
      <c r="AM6" s="63">
        <v>-0.1368</v>
      </c>
      <c r="AO6" s="59" t="s">
        <v>69</v>
      </c>
      <c r="AP6" s="62">
        <v>-260914.0</v>
      </c>
      <c r="AQ6" s="63">
        <v>-0.0227</v>
      </c>
      <c r="AS6" s="59" t="s">
        <v>69</v>
      </c>
      <c r="AT6" s="62">
        <v>-1675725.0</v>
      </c>
      <c r="AU6" s="63">
        <v>-0.1077</v>
      </c>
    </row>
    <row r="7">
      <c r="A7" s="59" t="s">
        <v>70</v>
      </c>
      <c r="B7" s="66">
        <v>5896.0</v>
      </c>
      <c r="C7" s="170"/>
      <c r="E7" s="59" t="s">
        <v>70</v>
      </c>
      <c r="F7" s="66">
        <v>385792.0</v>
      </c>
      <c r="G7" s="58"/>
      <c r="I7" s="59" t="s">
        <v>70</v>
      </c>
      <c r="J7" s="66">
        <v>370376.0</v>
      </c>
      <c r="K7" s="58"/>
      <c r="M7" s="59" t="s">
        <v>70</v>
      </c>
      <c r="N7" s="66">
        <v>355490.0</v>
      </c>
      <c r="O7" s="170"/>
      <c r="Q7" s="59" t="s">
        <v>70</v>
      </c>
      <c r="R7" s="66">
        <v>370336.0</v>
      </c>
      <c r="S7" s="58"/>
      <c r="U7" s="59" t="s">
        <v>70</v>
      </c>
      <c r="V7" s="66">
        <v>348798.0</v>
      </c>
      <c r="W7" s="58"/>
      <c r="Y7" s="59" t="s">
        <v>70</v>
      </c>
      <c r="Z7" s="66">
        <v>383272.0</v>
      </c>
      <c r="AA7" s="58"/>
      <c r="AC7" s="59" t="s">
        <v>70</v>
      </c>
      <c r="AD7" s="66">
        <v>343417.0</v>
      </c>
      <c r="AE7" s="58"/>
      <c r="AG7" s="59" t="s">
        <v>70</v>
      </c>
      <c r="AH7" s="66">
        <v>370363.0</v>
      </c>
      <c r="AI7" s="58"/>
      <c r="AK7" s="59" t="s">
        <v>70</v>
      </c>
      <c r="AL7" s="66">
        <v>374434.0</v>
      </c>
      <c r="AM7" s="58"/>
      <c r="AO7" s="59" t="s">
        <v>70</v>
      </c>
      <c r="AP7" s="66">
        <v>369798.0</v>
      </c>
      <c r="AQ7" s="58"/>
      <c r="AS7" s="59" t="s">
        <v>70</v>
      </c>
      <c r="AT7" s="66">
        <v>421570.0</v>
      </c>
      <c r="AU7" s="58"/>
    </row>
    <row r="8">
      <c r="A8" s="67" t="s">
        <v>71</v>
      </c>
      <c r="B8" s="68">
        <v>2420660.0</v>
      </c>
      <c r="C8" s="170"/>
      <c r="E8" s="67" t="s">
        <v>71</v>
      </c>
      <c r="F8" s="68">
        <v>1821040.0</v>
      </c>
      <c r="G8" s="58"/>
      <c r="I8" s="67" t="s">
        <v>71</v>
      </c>
      <c r="J8" s="68">
        <v>1703605.0</v>
      </c>
      <c r="K8" s="58"/>
      <c r="M8" s="67" t="s">
        <v>71</v>
      </c>
      <c r="N8" s="68">
        <v>1785066.0</v>
      </c>
      <c r="O8" s="170"/>
      <c r="Q8" s="67" t="s">
        <v>71</v>
      </c>
      <c r="R8" s="68">
        <v>1828225.0</v>
      </c>
      <c r="S8" s="58"/>
      <c r="U8" s="67" t="s">
        <v>71</v>
      </c>
      <c r="V8" s="68">
        <v>1757635.0</v>
      </c>
      <c r="W8" s="58"/>
      <c r="Y8" s="67" t="s">
        <v>71</v>
      </c>
      <c r="Z8" s="68">
        <v>1770922.0</v>
      </c>
      <c r="AA8" s="58"/>
      <c r="AC8" s="67" t="s">
        <v>71</v>
      </c>
      <c r="AD8" s="68">
        <v>1868266.0</v>
      </c>
      <c r="AE8" s="58"/>
      <c r="AG8" s="67" t="s">
        <v>71</v>
      </c>
      <c r="AH8" s="68">
        <v>1689288.0</v>
      </c>
      <c r="AI8" s="58"/>
      <c r="AK8" s="67" t="s">
        <v>71</v>
      </c>
      <c r="AL8" s="68">
        <v>1676653.0</v>
      </c>
      <c r="AM8" s="58"/>
      <c r="AO8" s="67" t="s">
        <v>71</v>
      </c>
      <c r="AP8" s="68">
        <v>1713918.0</v>
      </c>
      <c r="AQ8" s="58"/>
      <c r="AS8" s="67" t="s">
        <v>71</v>
      </c>
      <c r="AT8" s="68">
        <v>1798490.0</v>
      </c>
      <c r="AU8" s="58"/>
    </row>
    <row r="9">
      <c r="A9" s="67" t="s">
        <v>72</v>
      </c>
      <c r="B9" s="68">
        <v>1637245.0</v>
      </c>
      <c r="C9" s="170"/>
      <c r="E9" s="67" t="s">
        <v>72</v>
      </c>
      <c r="F9" s="68">
        <v>895208.0</v>
      </c>
      <c r="G9" s="58"/>
      <c r="I9" s="67" t="s">
        <v>72</v>
      </c>
      <c r="J9" s="68">
        <v>974334.0</v>
      </c>
      <c r="K9" s="58"/>
      <c r="M9" s="67" t="s">
        <v>72</v>
      </c>
      <c r="N9" s="68">
        <v>1100592.0</v>
      </c>
      <c r="O9" s="170"/>
      <c r="Q9" s="67" t="s">
        <v>72</v>
      </c>
      <c r="R9" s="68">
        <v>1064373.0</v>
      </c>
      <c r="S9" s="58"/>
      <c r="U9" s="67" t="s">
        <v>72</v>
      </c>
      <c r="V9" s="68">
        <v>836701.0</v>
      </c>
      <c r="W9" s="58"/>
      <c r="Y9" s="67" t="s">
        <v>72</v>
      </c>
      <c r="Z9" s="68">
        <v>905292.0</v>
      </c>
      <c r="AA9" s="58"/>
      <c r="AC9" s="67" t="s">
        <v>72</v>
      </c>
      <c r="AD9" s="68">
        <v>1008804.0</v>
      </c>
      <c r="AE9" s="58"/>
      <c r="AG9" s="67" t="s">
        <v>72</v>
      </c>
      <c r="AH9" s="68">
        <v>816943.0</v>
      </c>
      <c r="AI9" s="58"/>
      <c r="AK9" s="67" t="s">
        <v>72</v>
      </c>
      <c r="AL9" s="68">
        <v>1046930.0</v>
      </c>
      <c r="AM9" s="58"/>
      <c r="AO9" s="67" t="s">
        <v>72</v>
      </c>
      <c r="AP9" s="68">
        <v>947547.0</v>
      </c>
      <c r="AQ9" s="58"/>
      <c r="AS9" s="67" t="s">
        <v>72</v>
      </c>
      <c r="AT9" s="68">
        <v>1170442.0</v>
      </c>
      <c r="AU9" s="58"/>
    </row>
    <row r="10">
      <c r="A10" s="69" t="s">
        <v>73</v>
      </c>
      <c r="B10" s="70">
        <v>4057905.0</v>
      </c>
      <c r="C10" s="173"/>
      <c r="E10" s="69" t="s">
        <v>73</v>
      </c>
      <c r="F10" s="70">
        <v>2716248.0</v>
      </c>
      <c r="G10" s="61"/>
      <c r="I10" s="69" t="s">
        <v>73</v>
      </c>
      <c r="J10" s="70">
        <v>2677939.0</v>
      </c>
      <c r="K10" s="61"/>
      <c r="M10" s="69" t="s">
        <v>73</v>
      </c>
      <c r="N10" s="70">
        <v>2885657.0</v>
      </c>
      <c r="O10" s="173"/>
      <c r="Q10" s="69" t="s">
        <v>73</v>
      </c>
      <c r="R10" s="70">
        <v>2892598.0</v>
      </c>
      <c r="S10" s="61"/>
      <c r="U10" s="69" t="s">
        <v>73</v>
      </c>
      <c r="V10" s="70">
        <v>2594336.0</v>
      </c>
      <c r="W10" s="61"/>
      <c r="Y10" s="69" t="s">
        <v>73</v>
      </c>
      <c r="Z10" s="70">
        <v>2676214.0</v>
      </c>
      <c r="AA10" s="61"/>
      <c r="AC10" s="69" t="s">
        <v>73</v>
      </c>
      <c r="AD10" s="70">
        <v>2877070.0</v>
      </c>
      <c r="AE10" s="61"/>
      <c r="AG10" s="69" t="s">
        <v>73</v>
      </c>
      <c r="AH10" s="70">
        <v>2506231.0</v>
      </c>
      <c r="AI10" s="61"/>
      <c r="AK10" s="69" t="s">
        <v>73</v>
      </c>
      <c r="AL10" s="70">
        <v>2723583.0</v>
      </c>
      <c r="AM10" s="61"/>
      <c r="AO10" s="69" t="s">
        <v>73</v>
      </c>
      <c r="AP10" s="70">
        <v>2661464.0</v>
      </c>
      <c r="AQ10" s="61"/>
      <c r="AS10" s="69" t="s">
        <v>73</v>
      </c>
      <c r="AT10" s="70">
        <v>2968931.0</v>
      </c>
      <c r="AU10" s="61"/>
    </row>
    <row r="11">
      <c r="A11" s="175" t="s">
        <v>74</v>
      </c>
      <c r="B11" s="176">
        <v>0.314</v>
      </c>
      <c r="C11" s="177">
        <v>3.19</v>
      </c>
      <c r="E11" s="175" t="s">
        <v>74</v>
      </c>
      <c r="F11" s="176">
        <v>0.2474</v>
      </c>
      <c r="G11" s="177">
        <v>4.18</v>
      </c>
      <c r="I11" s="175" t="s">
        <v>74</v>
      </c>
      <c r="J11" s="176">
        <v>0.2337</v>
      </c>
      <c r="K11" s="177">
        <v>4.42</v>
      </c>
      <c r="M11" s="175" t="s">
        <v>74</v>
      </c>
      <c r="N11" s="176">
        <v>0.2588</v>
      </c>
      <c r="O11" s="177">
        <v>3.99</v>
      </c>
      <c r="Q11" s="175" t="s">
        <v>74</v>
      </c>
      <c r="R11" s="176">
        <v>0.2698</v>
      </c>
      <c r="S11" s="177">
        <v>3.83</v>
      </c>
      <c r="U11" s="175" t="s">
        <v>74</v>
      </c>
      <c r="V11" s="176">
        <v>0.2386</v>
      </c>
      <c r="W11" s="177">
        <v>4.32</v>
      </c>
      <c r="Y11" s="175" t="s">
        <v>74</v>
      </c>
      <c r="Z11" s="176">
        <v>0.2335</v>
      </c>
      <c r="AA11" s="177">
        <v>4.43</v>
      </c>
      <c r="AC11" s="175" t="s">
        <v>74</v>
      </c>
      <c r="AD11" s="176">
        <v>0.261</v>
      </c>
      <c r="AE11" s="177">
        <v>3.95</v>
      </c>
      <c r="AG11" s="175" t="s">
        <v>74</v>
      </c>
      <c r="AH11" s="176">
        <v>0.242</v>
      </c>
      <c r="AI11" s="177">
        <v>4.28</v>
      </c>
      <c r="AK11" s="175" t="s">
        <v>74</v>
      </c>
      <c r="AL11" s="176">
        <v>0.2516</v>
      </c>
      <c r="AM11" s="177">
        <v>4.11</v>
      </c>
      <c r="AO11" s="175" t="s">
        <v>74</v>
      </c>
      <c r="AP11" s="176">
        <v>0.237</v>
      </c>
      <c r="AQ11" s="177">
        <v>4.36</v>
      </c>
      <c r="AS11" s="175" t="s">
        <v>74</v>
      </c>
      <c r="AT11" s="176">
        <v>0.2138</v>
      </c>
      <c r="AU11" s="177">
        <v>4.82</v>
      </c>
    </row>
    <row r="12">
      <c r="A12" s="74" t="s">
        <v>75</v>
      </c>
      <c r="B12" s="75">
        <v>4401353.0</v>
      </c>
      <c r="C12" s="170"/>
      <c r="E12" s="74" t="s">
        <v>75</v>
      </c>
      <c r="F12" s="75">
        <v>3832675.0</v>
      </c>
      <c r="G12" s="58"/>
      <c r="I12" s="74" t="s">
        <v>75</v>
      </c>
      <c r="J12" s="75">
        <v>3909464.0</v>
      </c>
      <c r="K12" s="58"/>
      <c r="M12" s="74" t="s">
        <v>75</v>
      </c>
      <c r="N12" s="75">
        <v>3816851.0</v>
      </c>
      <c r="O12" s="170"/>
      <c r="Q12" s="74" t="s">
        <v>75</v>
      </c>
      <c r="R12" s="75">
        <v>3693347.0</v>
      </c>
      <c r="S12" s="58"/>
      <c r="U12" s="74" t="s">
        <v>75</v>
      </c>
      <c r="V12" s="75">
        <v>4125891.0</v>
      </c>
      <c r="W12" s="58"/>
      <c r="Y12" s="74" t="s">
        <v>75</v>
      </c>
      <c r="Z12" s="75">
        <v>3937679.0</v>
      </c>
      <c r="AA12" s="58"/>
      <c r="AC12" s="74" t="s">
        <v>75</v>
      </c>
      <c r="AD12" s="75">
        <v>3704726.0</v>
      </c>
      <c r="AE12" s="58"/>
      <c r="AG12" s="74" t="s">
        <v>75</v>
      </c>
      <c r="AH12" s="75">
        <v>3872441.0</v>
      </c>
      <c r="AI12" s="58"/>
      <c r="AK12" s="74" t="s">
        <v>75</v>
      </c>
      <c r="AL12" s="75">
        <v>3898213.0</v>
      </c>
      <c r="AM12" s="58"/>
      <c r="AO12" s="74" t="s">
        <v>75</v>
      </c>
      <c r="AP12" s="75">
        <v>3902334.0</v>
      </c>
      <c r="AQ12" s="58"/>
      <c r="AS12" s="74" t="s">
        <v>75</v>
      </c>
      <c r="AT12" s="75">
        <v>4429701.0</v>
      </c>
      <c r="AU12" s="58"/>
    </row>
    <row r="13">
      <c r="A13" s="179"/>
      <c r="B13" s="180"/>
      <c r="C13" s="170"/>
      <c r="E13" s="76"/>
      <c r="F13" s="77"/>
      <c r="G13" s="58"/>
      <c r="I13" s="76"/>
      <c r="J13" s="77"/>
      <c r="K13" s="58"/>
      <c r="M13" s="179"/>
      <c r="N13" s="180"/>
      <c r="O13" s="170"/>
      <c r="Q13" s="76"/>
      <c r="R13" s="77"/>
      <c r="S13" s="58"/>
      <c r="U13" s="76"/>
      <c r="V13" s="77"/>
      <c r="W13" s="58"/>
      <c r="Y13" s="76"/>
      <c r="Z13" s="77"/>
      <c r="AA13" s="58"/>
      <c r="AC13" s="76"/>
      <c r="AD13" s="77"/>
      <c r="AE13" s="58"/>
      <c r="AG13" s="76"/>
      <c r="AH13" s="77"/>
      <c r="AI13" s="58"/>
      <c r="AK13" s="76"/>
      <c r="AL13" s="77"/>
      <c r="AM13" s="58"/>
      <c r="AO13" s="76"/>
      <c r="AP13" s="77"/>
      <c r="AQ13" s="58"/>
      <c r="AS13" s="76"/>
      <c r="AT13" s="77"/>
      <c r="AU13" s="58"/>
    </row>
    <row r="14">
      <c r="A14" s="74" t="s">
        <v>76</v>
      </c>
      <c r="B14" s="75">
        <v>8459258.0</v>
      </c>
      <c r="C14" s="170"/>
      <c r="E14" s="74" t="s">
        <v>76</v>
      </c>
      <c r="F14" s="75">
        <v>6548923.0</v>
      </c>
      <c r="G14" s="58"/>
      <c r="I14" s="74" t="s">
        <v>76</v>
      </c>
      <c r="J14" s="75">
        <v>6587403.0</v>
      </c>
      <c r="K14" s="58"/>
      <c r="M14" s="74" t="s">
        <v>76</v>
      </c>
      <c r="N14" s="75">
        <v>6702509.0</v>
      </c>
      <c r="O14" s="170"/>
      <c r="Q14" s="74" t="s">
        <v>76</v>
      </c>
      <c r="R14" s="75">
        <v>6585945.0</v>
      </c>
      <c r="S14" s="58"/>
      <c r="U14" s="74" t="s">
        <v>76</v>
      </c>
      <c r="V14" s="75">
        <v>6720226.0</v>
      </c>
      <c r="W14" s="58"/>
      <c r="Y14" s="74" t="s">
        <v>76</v>
      </c>
      <c r="Z14" s="75">
        <v>6613893.0</v>
      </c>
      <c r="AA14" s="58"/>
      <c r="AC14" s="74" t="s">
        <v>76</v>
      </c>
      <c r="AD14" s="75">
        <v>6581796.0</v>
      </c>
      <c r="AE14" s="58"/>
      <c r="AG14" s="74" t="s">
        <v>76</v>
      </c>
      <c r="AH14" s="75">
        <v>6378672.0</v>
      </c>
      <c r="AI14" s="58"/>
      <c r="AK14" s="74" t="s">
        <v>76</v>
      </c>
      <c r="AL14" s="75">
        <v>6621796.0</v>
      </c>
      <c r="AM14" s="58"/>
      <c r="AO14" s="74" t="s">
        <v>76</v>
      </c>
      <c r="AP14" s="75">
        <v>6563799.0</v>
      </c>
      <c r="AQ14" s="58"/>
      <c r="AS14" s="74" t="s">
        <v>76</v>
      </c>
      <c r="AT14" s="75">
        <v>7398632.0</v>
      </c>
      <c r="AU14" s="58"/>
    </row>
    <row r="15">
      <c r="A15" s="78" t="s">
        <v>77</v>
      </c>
      <c r="B15" s="79">
        <v>4462837.0</v>
      </c>
      <c r="C15" s="170"/>
      <c r="E15" s="78" t="s">
        <v>77</v>
      </c>
      <c r="F15" s="79">
        <v>4429339.0</v>
      </c>
      <c r="G15" s="58"/>
      <c r="I15" s="78" t="s">
        <v>77</v>
      </c>
      <c r="J15" s="79">
        <v>4873757.0</v>
      </c>
      <c r="K15" s="58"/>
      <c r="M15" s="78" t="s">
        <v>77</v>
      </c>
      <c r="N15" s="79">
        <v>4447879.0</v>
      </c>
      <c r="O15" s="170"/>
      <c r="Q15" s="78" t="s">
        <v>77</v>
      </c>
      <c r="R15" s="79">
        <v>4135974.0</v>
      </c>
      <c r="S15" s="58"/>
      <c r="U15" s="78" t="s">
        <v>77</v>
      </c>
      <c r="V15" s="79">
        <v>4151117.0</v>
      </c>
      <c r="W15" s="58"/>
      <c r="Y15" s="78" t="s">
        <v>77</v>
      </c>
      <c r="Z15" s="79">
        <v>4849487.0</v>
      </c>
      <c r="AA15" s="58"/>
      <c r="AC15" s="78" t="s">
        <v>77</v>
      </c>
      <c r="AD15" s="79">
        <v>4439586.0</v>
      </c>
      <c r="AE15" s="58"/>
      <c r="AG15" s="78" t="s">
        <v>77</v>
      </c>
      <c r="AH15" s="79">
        <v>3979618.0</v>
      </c>
      <c r="AI15" s="58"/>
      <c r="AK15" s="78" t="s">
        <v>77</v>
      </c>
      <c r="AL15" s="79">
        <v>4201784.0</v>
      </c>
      <c r="AM15" s="58"/>
      <c r="AO15" s="78" t="s">
        <v>77</v>
      </c>
      <c r="AP15" s="79">
        <v>4666889.0</v>
      </c>
      <c r="AQ15" s="58"/>
      <c r="AS15" s="78" t="s">
        <v>77</v>
      </c>
      <c r="AT15" s="79">
        <v>6490224.0</v>
      </c>
      <c r="AU15" s="58"/>
    </row>
    <row r="16">
      <c r="A16" s="78" t="s">
        <v>78</v>
      </c>
      <c r="B16" s="181"/>
      <c r="C16" s="170"/>
      <c r="E16" s="78" t="s">
        <v>78</v>
      </c>
      <c r="F16" s="80"/>
      <c r="G16" s="58"/>
      <c r="I16" s="78" t="s">
        <v>78</v>
      </c>
      <c r="J16" s="80"/>
      <c r="K16" s="58"/>
      <c r="M16" s="78" t="s">
        <v>78</v>
      </c>
      <c r="N16" s="181"/>
      <c r="O16" s="170"/>
      <c r="Q16" s="78" t="s">
        <v>78</v>
      </c>
      <c r="R16" s="80"/>
      <c r="S16" s="58"/>
      <c r="U16" s="78" t="s">
        <v>78</v>
      </c>
      <c r="V16" s="80"/>
      <c r="W16" s="58"/>
      <c r="Y16" s="78" t="s">
        <v>78</v>
      </c>
      <c r="Z16" s="80"/>
      <c r="AA16" s="58"/>
      <c r="AC16" s="78" t="s">
        <v>78</v>
      </c>
      <c r="AD16" s="80"/>
      <c r="AE16" s="58"/>
      <c r="AG16" s="78" t="s">
        <v>78</v>
      </c>
      <c r="AH16" s="80"/>
      <c r="AI16" s="58"/>
      <c r="AK16" s="78" t="s">
        <v>78</v>
      </c>
      <c r="AL16" s="80"/>
      <c r="AM16" s="58"/>
      <c r="AO16" s="78" t="s">
        <v>78</v>
      </c>
      <c r="AP16" s="80"/>
      <c r="AQ16" s="58"/>
      <c r="AS16" s="78" t="s">
        <v>78</v>
      </c>
      <c r="AT16" s="80"/>
      <c r="AU16" s="58"/>
    </row>
    <row r="17">
      <c r="A17" s="78" t="s">
        <v>79</v>
      </c>
      <c r="B17" s="79">
        <v>62837.0</v>
      </c>
      <c r="C17" s="170"/>
      <c r="E17" s="78" t="s">
        <v>79</v>
      </c>
      <c r="F17" s="79">
        <v>29339.0</v>
      </c>
      <c r="G17" s="58"/>
      <c r="I17" s="78" t="s">
        <v>79</v>
      </c>
      <c r="J17" s="79">
        <v>73757.0</v>
      </c>
      <c r="K17" s="58"/>
      <c r="M17" s="78" t="s">
        <v>79</v>
      </c>
      <c r="N17" s="79">
        <v>47879.0</v>
      </c>
      <c r="O17" s="170"/>
      <c r="Q17" s="78" t="s">
        <v>79</v>
      </c>
      <c r="R17" s="79">
        <v>35974.0</v>
      </c>
      <c r="S17" s="58"/>
      <c r="U17" s="78" t="s">
        <v>79</v>
      </c>
      <c r="V17" s="79">
        <v>51117.0</v>
      </c>
      <c r="W17" s="58"/>
      <c r="Y17" s="78" t="s">
        <v>79</v>
      </c>
      <c r="Z17" s="79">
        <v>49487.0</v>
      </c>
      <c r="AA17" s="58"/>
      <c r="AC17" s="78" t="s">
        <v>79</v>
      </c>
      <c r="AD17" s="79">
        <v>39586.0</v>
      </c>
      <c r="AE17" s="58"/>
      <c r="AG17" s="78" t="s">
        <v>79</v>
      </c>
      <c r="AH17" s="81">
        <v>0.0</v>
      </c>
      <c r="AI17" s="58"/>
      <c r="AK17" s="78" t="s">
        <v>79</v>
      </c>
      <c r="AL17" s="79">
        <v>1784.0</v>
      </c>
      <c r="AM17" s="58"/>
      <c r="AO17" s="78" t="s">
        <v>79</v>
      </c>
      <c r="AP17" s="79">
        <v>66889.0</v>
      </c>
      <c r="AQ17" s="58"/>
      <c r="AS17" s="78" t="s">
        <v>79</v>
      </c>
      <c r="AT17" s="79">
        <v>2602.0</v>
      </c>
      <c r="AU17" s="58"/>
    </row>
    <row r="18">
      <c r="A18" s="182"/>
      <c r="B18" s="181"/>
      <c r="C18" s="170"/>
      <c r="E18" s="82"/>
      <c r="F18" s="80"/>
      <c r="G18" s="58"/>
      <c r="I18" s="82"/>
      <c r="J18" s="80"/>
      <c r="K18" s="58"/>
      <c r="M18" s="182"/>
      <c r="N18" s="181"/>
      <c r="O18" s="170"/>
      <c r="Q18" s="82"/>
      <c r="R18" s="80"/>
      <c r="S18" s="58"/>
      <c r="U18" s="82"/>
      <c r="V18" s="80"/>
      <c r="W18" s="58"/>
      <c r="Y18" s="82"/>
      <c r="Z18" s="80"/>
      <c r="AA18" s="58"/>
      <c r="AC18" s="82"/>
      <c r="AD18" s="80"/>
      <c r="AE18" s="58"/>
      <c r="AG18" s="82"/>
      <c r="AH18" s="80"/>
      <c r="AI18" s="58"/>
      <c r="AK18" s="82"/>
      <c r="AL18" s="80"/>
      <c r="AM18" s="58"/>
      <c r="AO18" s="82"/>
      <c r="AP18" s="80"/>
      <c r="AQ18" s="58"/>
      <c r="AS18" s="82"/>
      <c r="AT18" s="80"/>
      <c r="AU18" s="58"/>
    </row>
    <row r="19">
      <c r="A19" s="59" t="s">
        <v>80</v>
      </c>
      <c r="B19" s="66">
        <v>4400000.0</v>
      </c>
      <c r="C19" s="170"/>
      <c r="E19" s="59" t="s">
        <v>80</v>
      </c>
      <c r="F19" s="66">
        <v>4400000.0</v>
      </c>
      <c r="G19" s="58"/>
      <c r="I19" s="59" t="s">
        <v>80</v>
      </c>
      <c r="J19" s="66">
        <v>4800000.0</v>
      </c>
      <c r="K19" s="58"/>
      <c r="M19" s="59" t="s">
        <v>80</v>
      </c>
      <c r="N19" s="66">
        <v>4400000.0</v>
      </c>
      <c r="O19" s="170"/>
      <c r="Q19" s="59" t="s">
        <v>80</v>
      </c>
      <c r="R19" s="66">
        <v>4100000.0</v>
      </c>
      <c r="S19" s="58"/>
      <c r="U19" s="59" t="s">
        <v>80</v>
      </c>
      <c r="V19" s="66">
        <v>4100000.0</v>
      </c>
      <c r="W19" s="58"/>
      <c r="Y19" s="59" t="s">
        <v>80</v>
      </c>
      <c r="Z19" s="66">
        <v>4800000.0</v>
      </c>
      <c r="AA19" s="58"/>
      <c r="AC19" s="59" t="s">
        <v>80</v>
      </c>
      <c r="AD19" s="66">
        <v>4400000.0</v>
      </c>
      <c r="AE19" s="58"/>
      <c r="AG19" s="59" t="s">
        <v>80</v>
      </c>
      <c r="AH19" s="66">
        <v>3979618.0</v>
      </c>
      <c r="AI19" s="58"/>
      <c r="AK19" s="59" t="s">
        <v>80</v>
      </c>
      <c r="AL19" s="66">
        <v>4200000.0</v>
      </c>
      <c r="AM19" s="58"/>
      <c r="AO19" s="59" t="s">
        <v>80</v>
      </c>
      <c r="AP19" s="66">
        <v>4600000.0</v>
      </c>
      <c r="AQ19" s="58"/>
      <c r="AS19" s="59" t="s">
        <v>80</v>
      </c>
      <c r="AT19" s="66">
        <v>6487622.0</v>
      </c>
      <c r="AU19" s="58"/>
    </row>
    <row r="20">
      <c r="A20" s="83" t="s">
        <v>81</v>
      </c>
      <c r="B20" s="84">
        <v>44000.0</v>
      </c>
      <c r="C20" s="170"/>
      <c r="E20" s="83" t="s">
        <v>81</v>
      </c>
      <c r="F20" s="84">
        <v>44000.0</v>
      </c>
      <c r="G20" s="58"/>
      <c r="I20" s="83" t="s">
        <v>81</v>
      </c>
      <c r="J20" s="84">
        <v>48000.0</v>
      </c>
      <c r="K20" s="58"/>
      <c r="M20" s="83" t="s">
        <v>81</v>
      </c>
      <c r="N20" s="84">
        <v>44000.0</v>
      </c>
      <c r="O20" s="170"/>
      <c r="Q20" s="83" t="s">
        <v>81</v>
      </c>
      <c r="R20" s="84">
        <v>41000.0</v>
      </c>
      <c r="S20" s="58"/>
      <c r="U20" s="83" t="s">
        <v>81</v>
      </c>
      <c r="V20" s="84">
        <v>41000.0</v>
      </c>
      <c r="W20" s="58"/>
      <c r="Y20" s="83" t="s">
        <v>81</v>
      </c>
      <c r="Z20" s="84">
        <v>48000.0</v>
      </c>
      <c r="AA20" s="58"/>
      <c r="AC20" s="83" t="s">
        <v>81</v>
      </c>
      <c r="AD20" s="84">
        <v>44000.0</v>
      </c>
      <c r="AE20" s="58"/>
      <c r="AG20" s="83" t="s">
        <v>81</v>
      </c>
      <c r="AH20" s="84">
        <v>39796.0</v>
      </c>
      <c r="AI20" s="58"/>
      <c r="AK20" s="83" t="s">
        <v>81</v>
      </c>
      <c r="AL20" s="84">
        <v>42000.0</v>
      </c>
      <c r="AM20" s="58"/>
      <c r="AO20" s="83" t="s">
        <v>81</v>
      </c>
      <c r="AP20" s="84">
        <v>46000.0</v>
      </c>
      <c r="AQ20" s="58"/>
      <c r="AS20" s="83" t="s">
        <v>81</v>
      </c>
      <c r="AT20" s="84">
        <v>64876.0</v>
      </c>
      <c r="AU20" s="58"/>
    </row>
    <row r="21">
      <c r="A21" s="184"/>
      <c r="B21" s="86"/>
      <c r="C21" s="86"/>
      <c r="E21" s="183"/>
      <c r="F21" s="86"/>
      <c r="G21" s="86"/>
      <c r="I21" s="183"/>
      <c r="J21" s="86"/>
      <c r="K21" s="86"/>
      <c r="M21" s="184"/>
      <c r="N21" s="86"/>
      <c r="O21" s="86"/>
      <c r="Q21" s="183"/>
      <c r="R21" s="86"/>
      <c r="S21" s="86"/>
      <c r="U21" s="183"/>
      <c r="V21" s="86"/>
      <c r="W21" s="86"/>
      <c r="Y21" s="183"/>
      <c r="Z21" s="86"/>
      <c r="AA21" s="86"/>
      <c r="AC21" s="183"/>
      <c r="AD21" s="86"/>
      <c r="AE21" s="86"/>
      <c r="AG21" s="183"/>
      <c r="AH21" s="86"/>
      <c r="AI21" s="86"/>
      <c r="AK21" s="183"/>
      <c r="AL21" s="86"/>
      <c r="AM21" s="86"/>
      <c r="AO21" s="183"/>
      <c r="AP21" s="86"/>
      <c r="AQ21" s="86"/>
      <c r="AS21" s="183"/>
      <c r="AT21" s="86"/>
      <c r="AU21" s="86"/>
    </row>
    <row r="22">
      <c r="A22" s="87" t="s">
        <v>82</v>
      </c>
      <c r="B22" s="88" t="s">
        <v>83</v>
      </c>
      <c r="C22" s="88" t="s">
        <v>84</v>
      </c>
      <c r="E22" s="87" t="s">
        <v>82</v>
      </c>
      <c r="F22" s="88" t="s">
        <v>83</v>
      </c>
      <c r="G22" s="88" t="s">
        <v>84</v>
      </c>
      <c r="I22" s="87" t="s">
        <v>82</v>
      </c>
      <c r="J22" s="88" t="s">
        <v>83</v>
      </c>
      <c r="K22" s="88" t="s">
        <v>84</v>
      </c>
      <c r="M22" s="87" t="s">
        <v>82</v>
      </c>
      <c r="N22" s="88" t="s">
        <v>83</v>
      </c>
      <c r="O22" s="88" t="s">
        <v>84</v>
      </c>
      <c r="Q22" s="87" t="s">
        <v>82</v>
      </c>
      <c r="R22" s="88" t="s">
        <v>83</v>
      </c>
      <c r="S22" s="88" t="s">
        <v>84</v>
      </c>
      <c r="U22" s="87" t="s">
        <v>82</v>
      </c>
      <c r="V22" s="88" t="s">
        <v>83</v>
      </c>
      <c r="W22" s="88" t="s">
        <v>84</v>
      </c>
      <c r="Y22" s="87" t="s">
        <v>82</v>
      </c>
      <c r="Z22" s="88" t="s">
        <v>83</v>
      </c>
      <c r="AA22" s="88" t="s">
        <v>84</v>
      </c>
      <c r="AC22" s="87" t="s">
        <v>82</v>
      </c>
      <c r="AD22" s="88" t="s">
        <v>83</v>
      </c>
      <c r="AE22" s="88" t="s">
        <v>84</v>
      </c>
      <c r="AG22" s="87" t="s">
        <v>82</v>
      </c>
      <c r="AH22" s="88" t="s">
        <v>83</v>
      </c>
      <c r="AI22" s="88" t="s">
        <v>84</v>
      </c>
      <c r="AK22" s="87" t="s">
        <v>82</v>
      </c>
      <c r="AL22" s="88" t="s">
        <v>83</v>
      </c>
      <c r="AM22" s="88" t="s">
        <v>84</v>
      </c>
      <c r="AO22" s="87" t="s">
        <v>82</v>
      </c>
      <c r="AP22" s="88" t="s">
        <v>83</v>
      </c>
      <c r="AQ22" s="88" t="s">
        <v>84</v>
      </c>
      <c r="AS22" s="87" t="s">
        <v>82</v>
      </c>
      <c r="AT22" s="88" t="s">
        <v>83</v>
      </c>
      <c r="AU22" s="88" t="s">
        <v>84</v>
      </c>
    </row>
    <row r="23">
      <c r="A23" s="91" t="s">
        <v>85</v>
      </c>
      <c r="B23" s="92">
        <v>0.0</v>
      </c>
      <c r="C23" s="193"/>
      <c r="E23" s="91" t="s">
        <v>85</v>
      </c>
      <c r="F23" s="92">
        <v>0.0</v>
      </c>
      <c r="G23" s="194"/>
      <c r="I23" s="91" t="s">
        <v>85</v>
      </c>
      <c r="J23" s="92">
        <v>0.0</v>
      </c>
      <c r="K23" s="194"/>
      <c r="M23" s="91" t="s">
        <v>85</v>
      </c>
      <c r="N23" s="92">
        <v>0.0</v>
      </c>
      <c r="O23" s="193"/>
      <c r="Q23" s="91" t="s">
        <v>85</v>
      </c>
      <c r="R23" s="92">
        <v>0.0</v>
      </c>
      <c r="S23" s="194"/>
      <c r="U23" s="91" t="s">
        <v>85</v>
      </c>
      <c r="V23" s="92">
        <v>0.0</v>
      </c>
      <c r="W23" s="194"/>
      <c r="Y23" s="91" t="s">
        <v>85</v>
      </c>
      <c r="Z23" s="92">
        <v>0.0</v>
      </c>
      <c r="AA23" s="194"/>
      <c r="AC23" s="91" t="s">
        <v>85</v>
      </c>
      <c r="AD23" s="92">
        <v>0.0</v>
      </c>
      <c r="AE23" s="194"/>
      <c r="AG23" s="91" t="s">
        <v>85</v>
      </c>
      <c r="AH23" s="92">
        <v>0.0</v>
      </c>
      <c r="AI23" s="194"/>
      <c r="AK23" s="91" t="s">
        <v>85</v>
      </c>
      <c r="AL23" s="92">
        <v>0.0</v>
      </c>
      <c r="AM23" s="194"/>
      <c r="AO23" s="91" t="s">
        <v>85</v>
      </c>
      <c r="AP23" s="92">
        <v>0.0</v>
      </c>
      <c r="AQ23" s="194"/>
      <c r="AS23" s="91" t="s">
        <v>85</v>
      </c>
      <c r="AT23" s="92">
        <v>0.0</v>
      </c>
      <c r="AU23" s="194"/>
    </row>
    <row r="24">
      <c r="A24" s="91" t="s">
        <v>86</v>
      </c>
      <c r="B24" s="92">
        <v>0.19</v>
      </c>
      <c r="C24" s="195"/>
      <c r="E24" s="91" t="s">
        <v>86</v>
      </c>
      <c r="F24" s="92">
        <v>0.21</v>
      </c>
      <c r="G24" s="196"/>
      <c r="I24" s="91" t="s">
        <v>86</v>
      </c>
      <c r="J24" s="92">
        <v>0.21</v>
      </c>
      <c r="K24" s="196"/>
      <c r="M24" s="91" t="s">
        <v>86</v>
      </c>
      <c r="N24" s="92">
        <v>0.21</v>
      </c>
      <c r="O24" s="195"/>
      <c r="Q24" s="91" t="s">
        <v>86</v>
      </c>
      <c r="R24" s="92">
        <v>0.21</v>
      </c>
      <c r="S24" s="196"/>
      <c r="U24" s="91" t="s">
        <v>86</v>
      </c>
      <c r="V24" s="92">
        <v>0.22</v>
      </c>
      <c r="W24" s="196"/>
      <c r="Y24" s="91" t="s">
        <v>86</v>
      </c>
      <c r="Z24" s="92">
        <v>0.22</v>
      </c>
      <c r="AA24" s="196"/>
      <c r="AC24" s="91" t="s">
        <v>86</v>
      </c>
      <c r="AD24" s="92">
        <v>0.21</v>
      </c>
      <c r="AE24" s="196"/>
      <c r="AG24" s="91" t="s">
        <v>86</v>
      </c>
      <c r="AH24" s="92">
        <v>0.23</v>
      </c>
      <c r="AI24" s="196"/>
      <c r="AK24" s="91" t="s">
        <v>86</v>
      </c>
      <c r="AL24" s="92">
        <v>0.24</v>
      </c>
      <c r="AM24" s="196"/>
      <c r="AO24" s="91" t="s">
        <v>86</v>
      </c>
      <c r="AP24" s="92">
        <v>0.24</v>
      </c>
      <c r="AQ24" s="196"/>
      <c r="AS24" s="91" t="s">
        <v>86</v>
      </c>
      <c r="AT24" s="92">
        <v>0.24</v>
      </c>
      <c r="AU24" s="196"/>
    </row>
    <row r="25">
      <c r="A25" s="91" t="s">
        <v>87</v>
      </c>
      <c r="B25" s="92">
        <v>0.29</v>
      </c>
      <c r="C25" s="98">
        <v>3.79</v>
      </c>
      <c r="E25" s="91" t="s">
        <v>87</v>
      </c>
      <c r="F25" s="92">
        <v>0.28</v>
      </c>
      <c r="G25" s="98">
        <v>4.14</v>
      </c>
      <c r="I25" s="91" t="s">
        <v>87</v>
      </c>
      <c r="J25" s="92">
        <v>0.26</v>
      </c>
      <c r="K25" s="98">
        <v>4.8</v>
      </c>
      <c r="M25" s="91" t="s">
        <v>87</v>
      </c>
      <c r="N25" s="92">
        <v>0.27</v>
      </c>
      <c r="O25" s="98">
        <v>4.39</v>
      </c>
      <c r="Q25" s="91" t="s">
        <v>87</v>
      </c>
      <c r="R25" s="92">
        <v>0.28</v>
      </c>
      <c r="S25" s="98">
        <v>4.17</v>
      </c>
      <c r="U25" s="91" t="s">
        <v>87</v>
      </c>
      <c r="V25" s="92">
        <v>0.26</v>
      </c>
      <c r="W25" s="98">
        <v>4.46</v>
      </c>
      <c r="Y25" s="91" t="s">
        <v>87</v>
      </c>
      <c r="Z25" s="92">
        <v>0.27</v>
      </c>
      <c r="AA25" s="98">
        <v>4.72</v>
      </c>
      <c r="AC25" s="91" t="s">
        <v>87</v>
      </c>
      <c r="AD25" s="92">
        <v>0.28</v>
      </c>
      <c r="AE25" s="98">
        <v>4.32</v>
      </c>
      <c r="AG25" s="91" t="s">
        <v>87</v>
      </c>
      <c r="AH25" s="92">
        <v>0.26</v>
      </c>
      <c r="AI25" s="98">
        <v>4.26</v>
      </c>
      <c r="AK25" s="91" t="s">
        <v>87</v>
      </c>
      <c r="AL25" s="92">
        <v>0.25</v>
      </c>
      <c r="AM25" s="98">
        <v>4.55</v>
      </c>
      <c r="AO25" s="91" t="s">
        <v>87</v>
      </c>
      <c r="AP25" s="92">
        <v>0.26</v>
      </c>
      <c r="AQ25" s="98">
        <v>4.5</v>
      </c>
      <c r="AS25" s="91" t="s">
        <v>87</v>
      </c>
      <c r="AT25" s="92">
        <v>0.24</v>
      </c>
      <c r="AU25" s="98">
        <v>5.23</v>
      </c>
    </row>
    <row r="26">
      <c r="A26" s="91" t="s">
        <v>88</v>
      </c>
      <c r="B26" s="92">
        <v>0.0</v>
      </c>
      <c r="C26" s="98">
        <v>0.0</v>
      </c>
      <c r="E26" s="91" t="s">
        <v>88</v>
      </c>
      <c r="F26" s="92">
        <v>0.0</v>
      </c>
      <c r="G26" s="98">
        <v>0.0</v>
      </c>
      <c r="I26" s="91" t="s">
        <v>88</v>
      </c>
      <c r="J26" s="92">
        <v>0.0</v>
      </c>
      <c r="K26" s="98">
        <v>0.0</v>
      </c>
      <c r="M26" s="91" t="s">
        <v>88</v>
      </c>
      <c r="N26" s="92">
        <v>0.0</v>
      </c>
      <c r="O26" s="98">
        <v>0.0</v>
      </c>
      <c r="Q26" s="91" t="s">
        <v>88</v>
      </c>
      <c r="R26" s="92">
        <v>0.0</v>
      </c>
      <c r="S26" s="98">
        <v>0.0</v>
      </c>
      <c r="U26" s="91" t="s">
        <v>88</v>
      </c>
      <c r="V26" s="92">
        <v>0.0</v>
      </c>
      <c r="W26" s="98">
        <v>0.0</v>
      </c>
      <c r="Y26" s="91" t="s">
        <v>88</v>
      </c>
      <c r="Z26" s="92">
        <v>0.0</v>
      </c>
      <c r="AA26" s="98">
        <v>0.0</v>
      </c>
      <c r="AC26" s="91" t="s">
        <v>88</v>
      </c>
      <c r="AD26" s="92">
        <v>0.0</v>
      </c>
      <c r="AE26" s="98">
        <v>0.0</v>
      </c>
      <c r="AG26" s="91" t="s">
        <v>88</v>
      </c>
      <c r="AH26" s="92">
        <v>0.0</v>
      </c>
      <c r="AI26" s="98">
        <v>0.0</v>
      </c>
      <c r="AK26" s="91" t="s">
        <v>88</v>
      </c>
      <c r="AL26" s="92">
        <v>0.0</v>
      </c>
      <c r="AM26" s="98">
        <v>0.0</v>
      </c>
      <c r="AO26" s="91" t="s">
        <v>88</v>
      </c>
      <c r="AP26" s="92">
        <v>0.0</v>
      </c>
      <c r="AQ26" s="98">
        <v>0.0</v>
      </c>
      <c r="AS26" s="91" t="s">
        <v>88</v>
      </c>
      <c r="AT26" s="92">
        <v>0.0</v>
      </c>
      <c r="AU26" s="98">
        <v>0.0</v>
      </c>
    </row>
    <row r="27">
      <c r="A27" s="91" t="s">
        <v>89</v>
      </c>
      <c r="B27" s="92">
        <v>0.0</v>
      </c>
      <c r="C27" s="98">
        <v>0.0</v>
      </c>
      <c r="E27" s="91" t="s">
        <v>89</v>
      </c>
      <c r="F27" s="92">
        <v>0.0</v>
      </c>
      <c r="G27" s="98">
        <v>0.0</v>
      </c>
      <c r="I27" s="91" t="s">
        <v>89</v>
      </c>
      <c r="J27" s="92">
        <v>0.0</v>
      </c>
      <c r="K27" s="98">
        <v>0.0</v>
      </c>
      <c r="M27" s="91" t="s">
        <v>89</v>
      </c>
      <c r="N27" s="92">
        <v>0.0</v>
      </c>
      <c r="O27" s="98">
        <v>0.0</v>
      </c>
      <c r="Q27" s="91" t="s">
        <v>89</v>
      </c>
      <c r="R27" s="92">
        <v>0.0</v>
      </c>
      <c r="S27" s="98">
        <v>0.0</v>
      </c>
      <c r="U27" s="91" t="s">
        <v>89</v>
      </c>
      <c r="V27" s="92">
        <v>0.0</v>
      </c>
      <c r="W27" s="98">
        <v>0.0</v>
      </c>
      <c r="Y27" s="91" t="s">
        <v>89</v>
      </c>
      <c r="Z27" s="92">
        <v>0.0</v>
      </c>
      <c r="AA27" s="98">
        <v>0.0</v>
      </c>
      <c r="AC27" s="91" t="s">
        <v>89</v>
      </c>
      <c r="AD27" s="92">
        <v>0.0</v>
      </c>
      <c r="AE27" s="98">
        <v>0.0</v>
      </c>
      <c r="AG27" s="91" t="s">
        <v>89</v>
      </c>
      <c r="AH27" s="92">
        <v>0.0</v>
      </c>
      <c r="AI27" s="98">
        <v>0.0</v>
      </c>
      <c r="AK27" s="91" t="s">
        <v>89</v>
      </c>
      <c r="AL27" s="92">
        <v>0.0</v>
      </c>
      <c r="AM27" s="98">
        <v>0.0</v>
      </c>
      <c r="AO27" s="91" t="s">
        <v>89</v>
      </c>
      <c r="AP27" s="92">
        <v>0.0</v>
      </c>
      <c r="AQ27" s="98">
        <v>0.0</v>
      </c>
      <c r="AS27" s="91" t="s">
        <v>89</v>
      </c>
      <c r="AT27" s="92">
        <v>0.0</v>
      </c>
      <c r="AU27" s="98">
        <v>0.0</v>
      </c>
    </row>
    <row r="28">
      <c r="A28" s="91" t="s">
        <v>90</v>
      </c>
      <c r="B28" s="92">
        <v>0.0</v>
      </c>
      <c r="C28" s="98">
        <v>0.0</v>
      </c>
      <c r="E28" s="91" t="s">
        <v>90</v>
      </c>
      <c r="F28" s="92">
        <v>0.0</v>
      </c>
      <c r="G28" s="98">
        <v>0.0</v>
      </c>
      <c r="I28" s="91" t="s">
        <v>90</v>
      </c>
      <c r="J28" s="92">
        <v>0.0</v>
      </c>
      <c r="K28" s="98">
        <v>0.0</v>
      </c>
      <c r="M28" s="91" t="s">
        <v>90</v>
      </c>
      <c r="N28" s="92">
        <v>0.0</v>
      </c>
      <c r="O28" s="98">
        <v>0.0</v>
      </c>
      <c r="Q28" s="91" t="s">
        <v>90</v>
      </c>
      <c r="R28" s="92">
        <v>0.0</v>
      </c>
      <c r="S28" s="98">
        <v>0.0</v>
      </c>
      <c r="U28" s="91" t="s">
        <v>90</v>
      </c>
      <c r="V28" s="92">
        <v>0.0</v>
      </c>
      <c r="W28" s="98">
        <v>0.0</v>
      </c>
      <c r="Y28" s="91" t="s">
        <v>90</v>
      </c>
      <c r="Z28" s="92">
        <v>0.0</v>
      </c>
      <c r="AA28" s="98">
        <v>0.0</v>
      </c>
      <c r="AC28" s="91" t="s">
        <v>90</v>
      </c>
      <c r="AD28" s="92">
        <v>0.0</v>
      </c>
      <c r="AE28" s="98">
        <v>0.0</v>
      </c>
      <c r="AG28" s="91" t="s">
        <v>90</v>
      </c>
      <c r="AH28" s="92">
        <v>0.0</v>
      </c>
      <c r="AI28" s="98">
        <v>0.0</v>
      </c>
      <c r="AK28" s="91" t="s">
        <v>90</v>
      </c>
      <c r="AL28" s="92">
        <v>0.0</v>
      </c>
      <c r="AM28" s="98">
        <v>0.0</v>
      </c>
      <c r="AO28" s="91" t="s">
        <v>90</v>
      </c>
      <c r="AP28" s="92">
        <v>0.0</v>
      </c>
      <c r="AQ28" s="98">
        <v>0.0</v>
      </c>
      <c r="AS28" s="91" t="s">
        <v>90</v>
      </c>
      <c r="AT28" s="92">
        <v>0.0</v>
      </c>
      <c r="AU28" s="98">
        <v>0.0</v>
      </c>
    </row>
    <row r="29">
      <c r="A29" s="91" t="s">
        <v>91</v>
      </c>
      <c r="B29" s="92">
        <v>0.0</v>
      </c>
      <c r="C29" s="98">
        <v>0.0</v>
      </c>
      <c r="E29" s="91" t="s">
        <v>91</v>
      </c>
      <c r="F29" s="92">
        <v>0.0</v>
      </c>
      <c r="G29" s="98">
        <v>0.0</v>
      </c>
      <c r="I29" s="91" t="s">
        <v>91</v>
      </c>
      <c r="J29" s="92">
        <v>0.0</v>
      </c>
      <c r="K29" s="98">
        <v>0.0</v>
      </c>
      <c r="M29" s="91" t="s">
        <v>91</v>
      </c>
      <c r="N29" s="92">
        <v>0.0</v>
      </c>
      <c r="O29" s="98">
        <v>0.0</v>
      </c>
      <c r="Q29" s="91" t="s">
        <v>91</v>
      </c>
      <c r="R29" s="92">
        <v>0.0</v>
      </c>
      <c r="S29" s="98">
        <v>0.0</v>
      </c>
      <c r="U29" s="91" t="s">
        <v>91</v>
      </c>
      <c r="V29" s="92">
        <v>0.0</v>
      </c>
      <c r="W29" s="98">
        <v>0.0</v>
      </c>
      <c r="Y29" s="91" t="s">
        <v>91</v>
      </c>
      <c r="Z29" s="92">
        <v>0.0</v>
      </c>
      <c r="AA29" s="98">
        <v>0.0</v>
      </c>
      <c r="AC29" s="91" t="s">
        <v>91</v>
      </c>
      <c r="AD29" s="92">
        <v>0.0</v>
      </c>
      <c r="AE29" s="98">
        <v>0.0</v>
      </c>
      <c r="AG29" s="91" t="s">
        <v>91</v>
      </c>
      <c r="AH29" s="92">
        <v>0.0</v>
      </c>
      <c r="AI29" s="98">
        <v>0.0</v>
      </c>
      <c r="AK29" s="91" t="s">
        <v>91</v>
      </c>
      <c r="AL29" s="92">
        <v>0.0</v>
      </c>
      <c r="AM29" s="98">
        <v>0.0</v>
      </c>
      <c r="AO29" s="91" t="s">
        <v>91</v>
      </c>
      <c r="AP29" s="92">
        <v>0.0</v>
      </c>
      <c r="AQ29" s="98">
        <v>0.0</v>
      </c>
      <c r="AS29" s="91" t="s">
        <v>91</v>
      </c>
      <c r="AT29" s="92">
        <v>0.0</v>
      </c>
      <c r="AU29" s="98">
        <v>0.0</v>
      </c>
    </row>
    <row r="30">
      <c r="A30" s="91" t="s">
        <v>92</v>
      </c>
      <c r="B30" s="92">
        <v>0.09</v>
      </c>
      <c r="C30" s="98">
        <v>2.73</v>
      </c>
      <c r="E30" s="91" t="s">
        <v>92</v>
      </c>
      <c r="F30" s="92">
        <v>0.08</v>
      </c>
      <c r="G30" s="98">
        <v>3.52</v>
      </c>
      <c r="I30" s="91" t="s">
        <v>92</v>
      </c>
      <c r="J30" s="92">
        <v>0.07</v>
      </c>
      <c r="K30" s="98">
        <v>4.19</v>
      </c>
      <c r="M30" s="91" t="s">
        <v>92</v>
      </c>
      <c r="N30" s="92">
        <v>0.07</v>
      </c>
      <c r="O30" s="98">
        <v>3.82</v>
      </c>
      <c r="Q30" s="91" t="s">
        <v>92</v>
      </c>
      <c r="R30" s="92">
        <v>0.08</v>
      </c>
      <c r="S30" s="98">
        <v>3.46</v>
      </c>
      <c r="U30" s="91" t="s">
        <v>92</v>
      </c>
      <c r="V30" s="92">
        <v>0.06</v>
      </c>
      <c r="W30" s="98">
        <v>4.2</v>
      </c>
      <c r="Y30" s="91" t="s">
        <v>92</v>
      </c>
      <c r="Z30" s="92">
        <v>0.06</v>
      </c>
      <c r="AA30" s="98">
        <v>4.14</v>
      </c>
      <c r="AC30" s="91" t="s">
        <v>92</v>
      </c>
      <c r="AD30" s="92">
        <v>0.07</v>
      </c>
      <c r="AE30" s="98">
        <v>3.55</v>
      </c>
      <c r="AG30" s="91" t="s">
        <v>92</v>
      </c>
      <c r="AH30" s="92">
        <v>0.07</v>
      </c>
      <c r="AI30" s="98">
        <v>3.96</v>
      </c>
      <c r="AK30" s="91" t="s">
        <v>92</v>
      </c>
      <c r="AL30" s="92">
        <v>0.08</v>
      </c>
      <c r="AM30" s="98">
        <v>3.36</v>
      </c>
      <c r="AO30" s="91" t="s">
        <v>92</v>
      </c>
      <c r="AP30" s="92">
        <v>0.06</v>
      </c>
      <c r="AQ30" s="98">
        <v>4.93</v>
      </c>
      <c r="AS30" s="91" t="s">
        <v>92</v>
      </c>
      <c r="AT30" s="92">
        <v>0.07</v>
      </c>
      <c r="AU30" s="98">
        <v>4.32</v>
      </c>
    </row>
    <row r="31">
      <c r="A31" s="91" t="s">
        <v>93</v>
      </c>
      <c r="B31" s="92">
        <v>0.11</v>
      </c>
      <c r="C31" s="98">
        <v>1.93</v>
      </c>
      <c r="E31" s="91" t="s">
        <v>93</v>
      </c>
      <c r="F31" s="92">
        <v>0.06</v>
      </c>
      <c r="G31" s="98">
        <v>4.24</v>
      </c>
      <c r="I31" s="91" t="s">
        <v>93</v>
      </c>
      <c r="J31" s="92">
        <v>0.08</v>
      </c>
      <c r="K31" s="98">
        <v>2.72</v>
      </c>
      <c r="M31" s="91" t="s">
        <v>93</v>
      </c>
      <c r="N31" s="92">
        <v>0.09</v>
      </c>
      <c r="O31" s="98">
        <v>2.37</v>
      </c>
      <c r="Q31" s="91" t="s">
        <v>93</v>
      </c>
      <c r="R31" s="92">
        <v>0.09</v>
      </c>
      <c r="S31" s="98">
        <v>2.43</v>
      </c>
      <c r="U31" s="91" t="s">
        <v>93</v>
      </c>
      <c r="V31" s="92">
        <v>0.06</v>
      </c>
      <c r="W31" s="98">
        <v>3.11</v>
      </c>
      <c r="Y31" s="91" t="s">
        <v>93</v>
      </c>
      <c r="Z31" s="92">
        <v>0.07</v>
      </c>
      <c r="AA31" s="98">
        <v>2.82</v>
      </c>
      <c r="AC31" s="91" t="s">
        <v>93</v>
      </c>
      <c r="AD31" s="92">
        <v>0.08</v>
      </c>
      <c r="AE31" s="98">
        <v>2.33</v>
      </c>
      <c r="AG31" s="91" t="s">
        <v>93</v>
      </c>
      <c r="AH31" s="92">
        <v>0.06</v>
      </c>
      <c r="AI31" s="98">
        <v>3.78</v>
      </c>
      <c r="AK31" s="91" t="s">
        <v>93</v>
      </c>
      <c r="AL31" s="92">
        <v>0.08</v>
      </c>
      <c r="AM31" s="98">
        <v>2.76</v>
      </c>
      <c r="AO31" s="91" t="s">
        <v>93</v>
      </c>
      <c r="AP31" s="92">
        <v>0.09</v>
      </c>
      <c r="AQ31" s="98">
        <v>2.92</v>
      </c>
      <c r="AS31" s="91" t="s">
        <v>93</v>
      </c>
      <c r="AT31" s="92">
        <v>0.09</v>
      </c>
      <c r="AU31" s="98">
        <v>3.49</v>
      </c>
    </row>
    <row r="32">
      <c r="A32" s="100" t="s">
        <v>94</v>
      </c>
      <c r="B32" s="101">
        <v>0.29</v>
      </c>
      <c r="C32" s="102">
        <v>3.79</v>
      </c>
      <c r="E32" s="100" t="s">
        <v>94</v>
      </c>
      <c r="F32" s="101">
        <v>0.28</v>
      </c>
      <c r="G32" s="102">
        <v>4.14</v>
      </c>
      <c r="I32" s="100" t="s">
        <v>94</v>
      </c>
      <c r="J32" s="101">
        <v>0.26</v>
      </c>
      <c r="K32" s="102">
        <v>4.8</v>
      </c>
      <c r="M32" s="100" t="s">
        <v>94</v>
      </c>
      <c r="N32" s="101">
        <v>0.27</v>
      </c>
      <c r="O32" s="102">
        <v>4.39</v>
      </c>
      <c r="Q32" s="100" t="s">
        <v>94</v>
      </c>
      <c r="R32" s="101">
        <v>0.28</v>
      </c>
      <c r="S32" s="102">
        <v>4.17</v>
      </c>
      <c r="U32" s="100" t="s">
        <v>94</v>
      </c>
      <c r="V32" s="101">
        <v>0.26</v>
      </c>
      <c r="W32" s="102">
        <v>4.46</v>
      </c>
      <c r="Y32" s="100" t="s">
        <v>94</v>
      </c>
      <c r="Z32" s="101">
        <v>0.27</v>
      </c>
      <c r="AA32" s="102">
        <v>4.72</v>
      </c>
      <c r="AC32" s="100" t="s">
        <v>94</v>
      </c>
      <c r="AD32" s="101">
        <v>0.28</v>
      </c>
      <c r="AE32" s="102">
        <v>4.32</v>
      </c>
      <c r="AG32" s="100" t="s">
        <v>94</v>
      </c>
      <c r="AH32" s="101">
        <v>0.26</v>
      </c>
      <c r="AI32" s="102">
        <v>4.26</v>
      </c>
      <c r="AK32" s="100" t="s">
        <v>94</v>
      </c>
      <c r="AL32" s="101">
        <v>0.25</v>
      </c>
      <c r="AM32" s="102">
        <v>4.55</v>
      </c>
      <c r="AO32" s="100" t="s">
        <v>94</v>
      </c>
      <c r="AP32" s="101">
        <v>0.26</v>
      </c>
      <c r="AQ32" s="102">
        <v>4.5</v>
      </c>
      <c r="AS32" s="100" t="s">
        <v>94</v>
      </c>
      <c r="AT32" s="101">
        <v>0.24</v>
      </c>
      <c r="AU32" s="102">
        <v>5.23</v>
      </c>
    </row>
    <row r="33">
      <c r="A33" s="100" t="s">
        <v>95</v>
      </c>
      <c r="B33" s="101">
        <v>0.19</v>
      </c>
      <c r="C33" s="102">
        <v>2.3</v>
      </c>
      <c r="E33" s="100" t="s">
        <v>95</v>
      </c>
      <c r="F33" s="101">
        <v>0.14</v>
      </c>
      <c r="G33" s="102">
        <v>3.84</v>
      </c>
      <c r="I33" s="100" t="s">
        <v>95</v>
      </c>
      <c r="J33" s="101">
        <v>0.15</v>
      </c>
      <c r="K33" s="102">
        <v>3.37</v>
      </c>
      <c r="M33" s="100" t="s">
        <v>95</v>
      </c>
      <c r="N33" s="101">
        <v>0.16</v>
      </c>
      <c r="O33" s="102">
        <v>3.01</v>
      </c>
      <c r="Q33" s="100" t="s">
        <v>95</v>
      </c>
      <c r="R33" s="101">
        <v>0.16</v>
      </c>
      <c r="S33" s="102">
        <v>2.91</v>
      </c>
      <c r="U33" s="100" t="s">
        <v>95</v>
      </c>
      <c r="V33" s="101">
        <v>0.12</v>
      </c>
      <c r="W33" s="102">
        <v>3.64</v>
      </c>
      <c r="Y33" s="100" t="s">
        <v>95</v>
      </c>
      <c r="Z33" s="101">
        <v>0.14</v>
      </c>
      <c r="AA33" s="102">
        <v>3.44</v>
      </c>
      <c r="AC33" s="100" t="s">
        <v>95</v>
      </c>
      <c r="AD33" s="101">
        <v>0.15</v>
      </c>
      <c r="AE33" s="102">
        <v>2.92</v>
      </c>
      <c r="AG33" s="100" t="s">
        <v>95</v>
      </c>
      <c r="AH33" s="101">
        <v>0.13</v>
      </c>
      <c r="AI33" s="102">
        <v>3.88</v>
      </c>
      <c r="AK33" s="100" t="s">
        <v>95</v>
      </c>
      <c r="AL33" s="101">
        <v>0.16</v>
      </c>
      <c r="AM33" s="102">
        <v>3.06</v>
      </c>
      <c r="AO33" s="100" t="s">
        <v>95</v>
      </c>
      <c r="AP33" s="101">
        <v>0.14</v>
      </c>
      <c r="AQ33" s="102">
        <v>3.72</v>
      </c>
      <c r="AS33" s="100" t="s">
        <v>95</v>
      </c>
      <c r="AT33" s="101">
        <v>0.16</v>
      </c>
      <c r="AU33" s="102">
        <v>3.85</v>
      </c>
    </row>
    <row r="34">
      <c r="A34" s="103" t="s">
        <v>96</v>
      </c>
      <c r="B34" s="104">
        <v>0.31</v>
      </c>
      <c r="C34" s="105">
        <v>3.19</v>
      </c>
      <c r="E34" s="103" t="s">
        <v>96</v>
      </c>
      <c r="F34" s="104">
        <v>0.25</v>
      </c>
      <c r="G34" s="105">
        <v>4.18</v>
      </c>
      <c r="I34" s="103" t="s">
        <v>96</v>
      </c>
      <c r="J34" s="104">
        <v>0.23</v>
      </c>
      <c r="K34" s="105">
        <v>4.42</v>
      </c>
      <c r="M34" s="103" t="s">
        <v>96</v>
      </c>
      <c r="N34" s="104">
        <v>0.26</v>
      </c>
      <c r="O34" s="105">
        <v>3.99</v>
      </c>
      <c r="Q34" s="103" t="s">
        <v>96</v>
      </c>
      <c r="R34" s="104">
        <v>0.27</v>
      </c>
      <c r="S34" s="105">
        <v>3.83</v>
      </c>
      <c r="U34" s="103" t="s">
        <v>96</v>
      </c>
      <c r="V34" s="104">
        <v>0.24</v>
      </c>
      <c r="W34" s="105">
        <v>4.32</v>
      </c>
      <c r="Y34" s="103" t="s">
        <v>96</v>
      </c>
      <c r="Z34" s="104">
        <v>0.23</v>
      </c>
      <c r="AA34" s="105">
        <v>4.43</v>
      </c>
      <c r="AC34" s="103" t="s">
        <v>96</v>
      </c>
      <c r="AD34" s="104">
        <v>0.26</v>
      </c>
      <c r="AE34" s="105">
        <v>3.95</v>
      </c>
      <c r="AG34" s="103" t="s">
        <v>96</v>
      </c>
      <c r="AH34" s="104">
        <v>0.24</v>
      </c>
      <c r="AI34" s="105">
        <v>4.28</v>
      </c>
      <c r="AK34" s="103" t="s">
        <v>96</v>
      </c>
      <c r="AL34" s="104">
        <v>0.25</v>
      </c>
      <c r="AM34" s="105">
        <v>4.11</v>
      </c>
      <c r="AO34" s="103" t="s">
        <v>96</v>
      </c>
      <c r="AP34" s="104">
        <v>0.24</v>
      </c>
      <c r="AQ34" s="105">
        <v>4.36</v>
      </c>
      <c r="AS34" s="103" t="s">
        <v>96</v>
      </c>
      <c r="AT34" s="104">
        <v>0.21</v>
      </c>
      <c r="AU34" s="105">
        <v>4.82</v>
      </c>
    </row>
    <row r="35">
      <c r="A35" s="91" t="s">
        <v>97</v>
      </c>
      <c r="B35" s="92">
        <v>0.14</v>
      </c>
      <c r="C35" s="193"/>
      <c r="E35" s="91" t="s">
        <v>97</v>
      </c>
      <c r="F35" s="92">
        <v>0.18</v>
      </c>
      <c r="G35" s="194"/>
      <c r="I35" s="91" t="s">
        <v>97</v>
      </c>
      <c r="J35" s="92">
        <v>0.18</v>
      </c>
      <c r="K35" s="194"/>
      <c r="M35" s="91" t="s">
        <v>97</v>
      </c>
      <c r="N35" s="92">
        <v>0.18</v>
      </c>
      <c r="O35" s="193"/>
      <c r="Q35" s="91" t="s">
        <v>97</v>
      </c>
      <c r="R35" s="92">
        <v>0.18</v>
      </c>
      <c r="S35" s="194"/>
      <c r="U35" s="91" t="s">
        <v>97</v>
      </c>
      <c r="V35" s="92">
        <v>0.18</v>
      </c>
      <c r="W35" s="194"/>
      <c r="Y35" s="91" t="s">
        <v>97</v>
      </c>
      <c r="Z35" s="92">
        <v>0.18</v>
      </c>
      <c r="AA35" s="194"/>
      <c r="AC35" s="91" t="s">
        <v>97</v>
      </c>
      <c r="AD35" s="92">
        <v>0.18</v>
      </c>
      <c r="AE35" s="194"/>
      <c r="AG35" s="91" t="s">
        <v>97</v>
      </c>
      <c r="AH35" s="92">
        <v>0.19</v>
      </c>
      <c r="AI35" s="194"/>
      <c r="AK35" s="91" t="s">
        <v>97</v>
      </c>
      <c r="AL35" s="92">
        <v>0.18</v>
      </c>
      <c r="AM35" s="194"/>
      <c r="AO35" s="91" t="s">
        <v>97</v>
      </c>
      <c r="AP35" s="92">
        <v>0.18</v>
      </c>
      <c r="AQ35" s="194"/>
      <c r="AS35" s="91" t="s">
        <v>97</v>
      </c>
      <c r="AT35" s="92">
        <v>0.17</v>
      </c>
      <c r="AU35" s="194"/>
    </row>
    <row r="36">
      <c r="A36" s="91" t="s">
        <v>98</v>
      </c>
      <c r="B36" s="92">
        <v>0.02</v>
      </c>
      <c r="C36" s="193"/>
      <c r="E36" s="91" t="s">
        <v>98</v>
      </c>
      <c r="F36" s="92">
        <v>0.03</v>
      </c>
      <c r="G36" s="194"/>
      <c r="I36" s="91" t="s">
        <v>98</v>
      </c>
      <c r="J36" s="92">
        <v>0.04</v>
      </c>
      <c r="K36" s="194"/>
      <c r="M36" s="91" t="s">
        <v>98</v>
      </c>
      <c r="N36" s="92">
        <v>0.03</v>
      </c>
      <c r="O36" s="193"/>
      <c r="Q36" s="91" t="s">
        <v>98</v>
      </c>
      <c r="R36" s="92">
        <v>0.03</v>
      </c>
      <c r="S36" s="194"/>
      <c r="U36" s="91" t="s">
        <v>98</v>
      </c>
      <c r="V36" s="92">
        <v>0.02</v>
      </c>
      <c r="W36" s="194"/>
      <c r="Y36" s="91" t="s">
        <v>98</v>
      </c>
      <c r="Z36" s="92">
        <v>0.03</v>
      </c>
      <c r="AA36" s="194"/>
      <c r="AC36" s="91" t="s">
        <v>98</v>
      </c>
      <c r="AD36" s="92">
        <v>0.02</v>
      </c>
      <c r="AE36" s="194"/>
      <c r="AG36" s="91" t="s">
        <v>98</v>
      </c>
      <c r="AH36" s="92">
        <v>0.03</v>
      </c>
      <c r="AI36" s="194"/>
      <c r="AK36" s="91" t="s">
        <v>98</v>
      </c>
      <c r="AL36" s="92">
        <v>0.02</v>
      </c>
      <c r="AM36" s="194"/>
      <c r="AO36" s="91" t="s">
        <v>98</v>
      </c>
      <c r="AP36" s="92">
        <v>0.02</v>
      </c>
      <c r="AQ36" s="194"/>
      <c r="AS36" s="91" t="s">
        <v>98</v>
      </c>
      <c r="AT36" s="92">
        <v>0.03</v>
      </c>
      <c r="AU36" s="194"/>
    </row>
    <row r="37">
      <c r="A37" s="91" t="s">
        <v>99</v>
      </c>
      <c r="B37" s="92">
        <v>0.01</v>
      </c>
      <c r="C37" s="195"/>
      <c r="E37" s="91" t="s">
        <v>99</v>
      </c>
      <c r="F37" s="92">
        <v>0.01</v>
      </c>
      <c r="G37" s="196"/>
      <c r="I37" s="91" t="s">
        <v>99</v>
      </c>
      <c r="J37" s="92">
        <v>0.02</v>
      </c>
      <c r="K37" s="196"/>
      <c r="M37" s="91" t="s">
        <v>99</v>
      </c>
      <c r="N37" s="92">
        <v>0.02</v>
      </c>
      <c r="O37" s="195"/>
      <c r="Q37" s="91" t="s">
        <v>99</v>
      </c>
      <c r="R37" s="92">
        <v>0.02</v>
      </c>
      <c r="S37" s="196"/>
      <c r="U37" s="91" t="s">
        <v>99</v>
      </c>
      <c r="V37" s="92">
        <v>0.02</v>
      </c>
      <c r="W37" s="196"/>
      <c r="Y37" s="91" t="s">
        <v>99</v>
      </c>
      <c r="Z37" s="92">
        <v>0.03</v>
      </c>
      <c r="AA37" s="196"/>
      <c r="AC37" s="91" t="s">
        <v>99</v>
      </c>
      <c r="AD37" s="92">
        <v>0.02</v>
      </c>
      <c r="AE37" s="196"/>
      <c r="AG37" s="91" t="s">
        <v>99</v>
      </c>
      <c r="AH37" s="92">
        <v>0.02</v>
      </c>
      <c r="AI37" s="196"/>
      <c r="AK37" s="91" t="s">
        <v>99</v>
      </c>
      <c r="AL37" s="92">
        <v>0.01</v>
      </c>
      <c r="AM37" s="196"/>
      <c r="AO37" s="91" t="s">
        <v>99</v>
      </c>
      <c r="AP37" s="92">
        <v>0.01</v>
      </c>
      <c r="AQ37" s="196"/>
      <c r="AS37" s="91" t="s">
        <v>99</v>
      </c>
      <c r="AT37" s="92">
        <v>0.03</v>
      </c>
      <c r="AU37" s="196"/>
    </row>
    <row r="38">
      <c r="A38" s="191"/>
      <c r="B38" s="191"/>
      <c r="C38" s="192"/>
      <c r="E38" s="189"/>
      <c r="F38" s="189"/>
      <c r="G38" s="190"/>
      <c r="I38" s="189"/>
      <c r="J38" s="189"/>
      <c r="K38" s="190"/>
      <c r="M38" s="191"/>
      <c r="N38" s="191"/>
      <c r="O38" s="192"/>
      <c r="Q38" s="189"/>
      <c r="R38" s="189"/>
      <c r="S38" s="190"/>
      <c r="U38" s="189"/>
      <c r="V38" s="189"/>
      <c r="W38" s="190"/>
      <c r="Y38" s="189"/>
      <c r="Z38" s="189"/>
      <c r="AA38" s="190"/>
      <c r="AC38" s="189"/>
      <c r="AD38" s="189"/>
      <c r="AE38" s="190"/>
      <c r="AG38" s="189"/>
      <c r="AH38" s="189"/>
      <c r="AI38" s="190"/>
      <c r="AK38" s="189"/>
      <c r="AL38" s="189"/>
      <c r="AM38" s="190"/>
      <c r="AO38" s="189"/>
      <c r="AP38" s="189"/>
      <c r="AQ38" s="190"/>
      <c r="AS38" s="189"/>
      <c r="AT38" s="189"/>
      <c r="AU38" s="190"/>
    </row>
    <row r="39">
      <c r="A39" s="110" t="s">
        <v>100</v>
      </c>
      <c r="B39" s="111">
        <v>0.3405</v>
      </c>
      <c r="C39" s="192"/>
      <c r="E39" s="110" t="s">
        <v>100</v>
      </c>
      <c r="F39" s="111">
        <v>0.4008</v>
      </c>
      <c r="G39" s="86"/>
      <c r="I39" s="110" t="s">
        <v>100</v>
      </c>
      <c r="J39" s="111">
        <v>0.4188</v>
      </c>
      <c r="K39" s="86"/>
      <c r="M39" s="110" t="s">
        <v>100</v>
      </c>
      <c r="N39" s="111">
        <v>0.3946</v>
      </c>
      <c r="O39" s="192"/>
      <c r="Q39" s="110" t="s">
        <v>100</v>
      </c>
      <c r="R39" s="111">
        <v>0.3824</v>
      </c>
      <c r="S39" s="86"/>
      <c r="U39" s="110" t="s">
        <v>100</v>
      </c>
      <c r="V39" s="111">
        <v>0.3771</v>
      </c>
      <c r="W39" s="86"/>
      <c r="Y39" s="110" t="s">
        <v>100</v>
      </c>
      <c r="Z39" s="111">
        <v>0.4187</v>
      </c>
      <c r="AA39" s="86"/>
      <c r="AC39" s="110" t="s">
        <v>100</v>
      </c>
      <c r="AD39" s="111">
        <v>0.3992</v>
      </c>
      <c r="AE39" s="86"/>
      <c r="AG39" s="110" t="s">
        <v>100</v>
      </c>
      <c r="AH39" s="111">
        <v>0.3842</v>
      </c>
      <c r="AI39" s="86"/>
      <c r="AK39" s="110" t="s">
        <v>100</v>
      </c>
      <c r="AL39" s="111">
        <v>0.388</v>
      </c>
      <c r="AM39" s="86"/>
      <c r="AO39" s="110" t="s">
        <v>100</v>
      </c>
      <c r="AP39" s="111">
        <v>0.4096</v>
      </c>
      <c r="AQ39" s="86"/>
      <c r="AS39" s="110" t="s">
        <v>100</v>
      </c>
      <c r="AT39" s="111">
        <v>0.4671</v>
      </c>
      <c r="AU39" s="86"/>
    </row>
    <row r="40">
      <c r="A40" s="184"/>
      <c r="B40" s="86"/>
      <c r="C40" s="86"/>
      <c r="M40" s="184"/>
      <c r="N40" s="86"/>
      <c r="O40" s="86"/>
      <c r="AK40" s="86"/>
      <c r="AL40" s="86"/>
      <c r="AM40" s="86"/>
    </row>
  </sheetData>
  <mergeCells count="12">
    <mergeCell ref="AC3:AD3"/>
    <mergeCell ref="AG3:AH3"/>
    <mergeCell ref="AK3:AL3"/>
    <mergeCell ref="AO3:AP3"/>
    <mergeCell ref="AS3:AT3"/>
    <mergeCell ref="A3:B3"/>
    <mergeCell ref="E3:F3"/>
    <mergeCell ref="I3:J3"/>
    <mergeCell ref="M3:N3"/>
    <mergeCell ref="Q3:R3"/>
    <mergeCell ref="U3:V3"/>
    <mergeCell ref="Y3:Z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3" width="13.88"/>
    <col customWidth="1" min="5" max="5" width="15.75"/>
    <col customWidth="1" min="6" max="7" width="13.88"/>
    <col customWidth="1" min="9" max="9" width="15.75"/>
    <col customWidth="1" min="10" max="11" width="13.88"/>
  </cols>
  <sheetData>
    <row r="1">
      <c r="A1" s="1" t="s">
        <v>111</v>
      </c>
      <c r="E1" s="1" t="s">
        <v>112</v>
      </c>
      <c r="I1" s="1" t="s">
        <v>113</v>
      </c>
    </row>
    <row r="3">
      <c r="A3" s="56" t="s">
        <v>110</v>
      </c>
      <c r="B3" s="57"/>
      <c r="C3" s="58"/>
      <c r="E3" s="56" t="s">
        <v>110</v>
      </c>
      <c r="F3" s="57"/>
      <c r="G3" s="170"/>
      <c r="I3" s="56" t="s">
        <v>110</v>
      </c>
      <c r="J3" s="57"/>
      <c r="K3" s="58"/>
    </row>
    <row r="4">
      <c r="A4" s="59" t="s">
        <v>67</v>
      </c>
      <c r="B4" s="60">
        <v>8538840.0</v>
      </c>
      <c r="C4" s="58"/>
      <c r="E4" s="59" t="s">
        <v>67</v>
      </c>
      <c r="F4" s="60">
        <v>8626112.0</v>
      </c>
      <c r="G4" s="170"/>
      <c r="I4" s="59" t="s">
        <v>67</v>
      </c>
      <c r="J4" s="60">
        <v>1.1220178E7</v>
      </c>
      <c r="K4" s="58"/>
    </row>
    <row r="5">
      <c r="A5" s="59" t="s">
        <v>68</v>
      </c>
      <c r="B5" s="60">
        <v>6196725.0</v>
      </c>
      <c r="C5" s="61"/>
      <c r="E5" s="59" t="s">
        <v>68</v>
      </c>
      <c r="F5" s="60">
        <v>7803797.0</v>
      </c>
      <c r="G5" s="173"/>
      <c r="I5" s="59" t="s">
        <v>68</v>
      </c>
      <c r="J5" s="60">
        <v>1.0486486E7</v>
      </c>
      <c r="K5" s="61"/>
    </row>
    <row r="6">
      <c r="A6" s="59" t="s">
        <v>69</v>
      </c>
      <c r="B6" s="64">
        <v>2342116.0</v>
      </c>
      <c r="C6" s="65">
        <v>0.378</v>
      </c>
      <c r="E6" s="59" t="s">
        <v>69</v>
      </c>
      <c r="F6" s="64">
        <v>822315.0</v>
      </c>
      <c r="G6" s="65">
        <v>0.1054</v>
      </c>
      <c r="I6" s="59" t="s">
        <v>69</v>
      </c>
      <c r="J6" s="64">
        <v>733693.0</v>
      </c>
      <c r="K6" s="65">
        <v>0.07</v>
      </c>
    </row>
    <row r="7">
      <c r="A7" s="59" t="s">
        <v>70</v>
      </c>
      <c r="B7" s="66">
        <v>198196.0</v>
      </c>
      <c r="C7" s="58"/>
      <c r="E7" s="59" t="s">
        <v>70</v>
      </c>
      <c r="F7" s="66">
        <v>137741.0</v>
      </c>
      <c r="G7" s="170"/>
      <c r="I7" s="59" t="s">
        <v>70</v>
      </c>
      <c r="J7" s="66">
        <v>167045.0</v>
      </c>
      <c r="K7" s="58"/>
    </row>
    <row r="8">
      <c r="A8" s="67" t="s">
        <v>71</v>
      </c>
      <c r="B8" s="68">
        <v>2207731.0</v>
      </c>
      <c r="C8" s="58"/>
      <c r="E8" s="67" t="s">
        <v>71</v>
      </c>
      <c r="F8" s="68">
        <v>2168182.0</v>
      </c>
      <c r="G8" s="170"/>
      <c r="I8" s="67" t="s">
        <v>71</v>
      </c>
      <c r="J8" s="68">
        <v>2279656.0</v>
      </c>
      <c r="K8" s="58"/>
    </row>
    <row r="9">
      <c r="A9" s="67" t="s">
        <v>72</v>
      </c>
      <c r="B9" s="68">
        <v>818573.0</v>
      </c>
      <c r="C9" s="58"/>
      <c r="E9" s="67" t="s">
        <v>72</v>
      </c>
      <c r="F9" s="68">
        <v>643022.0</v>
      </c>
      <c r="G9" s="170"/>
      <c r="I9" s="67" t="s">
        <v>72</v>
      </c>
      <c r="J9" s="68">
        <v>1044415.0</v>
      </c>
      <c r="K9" s="58"/>
    </row>
    <row r="10">
      <c r="A10" s="69" t="s">
        <v>73</v>
      </c>
      <c r="B10" s="70">
        <v>3026305.0</v>
      </c>
      <c r="C10" s="61"/>
      <c r="E10" s="69" t="s">
        <v>73</v>
      </c>
      <c r="F10" s="70">
        <v>2811205.0</v>
      </c>
      <c r="G10" s="173"/>
      <c r="I10" s="69" t="s">
        <v>73</v>
      </c>
      <c r="J10" s="70">
        <v>3324071.0</v>
      </c>
      <c r="K10" s="61"/>
    </row>
    <row r="11">
      <c r="A11" s="175" t="s">
        <v>74</v>
      </c>
      <c r="B11" s="176">
        <v>0.3544</v>
      </c>
      <c r="C11" s="177">
        <v>2.82</v>
      </c>
      <c r="E11" s="175" t="s">
        <v>74</v>
      </c>
      <c r="F11" s="176">
        <v>0.3259</v>
      </c>
      <c r="G11" s="177">
        <v>3.07</v>
      </c>
      <c r="I11" s="175" t="s">
        <v>74</v>
      </c>
      <c r="J11" s="176">
        <v>0.2963</v>
      </c>
      <c r="K11" s="177">
        <v>3.38</v>
      </c>
    </row>
    <row r="12">
      <c r="A12" s="74" t="s">
        <v>75</v>
      </c>
      <c r="B12" s="75">
        <v>2960822.0</v>
      </c>
      <c r="C12" s="58"/>
      <c r="E12" s="74" t="s">
        <v>75</v>
      </c>
      <c r="F12" s="75">
        <v>3594236.0</v>
      </c>
      <c r="G12" s="170"/>
      <c r="I12" s="74" t="s">
        <v>75</v>
      </c>
      <c r="J12" s="75">
        <v>1460488.0</v>
      </c>
      <c r="K12" s="58"/>
    </row>
    <row r="13">
      <c r="A13" s="76"/>
      <c r="B13" s="77"/>
      <c r="C13" s="58"/>
      <c r="E13" s="179"/>
      <c r="F13" s="180"/>
      <c r="G13" s="170"/>
      <c r="I13" s="76"/>
      <c r="J13" s="77"/>
      <c r="K13" s="58"/>
    </row>
    <row r="14">
      <c r="A14" s="74" t="s">
        <v>76</v>
      </c>
      <c r="B14" s="75">
        <v>5987127.0</v>
      </c>
      <c r="C14" s="58"/>
      <c r="E14" s="74" t="s">
        <v>76</v>
      </c>
      <c r="F14" s="75">
        <v>6405441.0</v>
      </c>
      <c r="G14" s="170"/>
      <c r="I14" s="74" t="s">
        <v>76</v>
      </c>
      <c r="J14" s="75">
        <v>4784559.0</v>
      </c>
      <c r="K14" s="58"/>
    </row>
    <row r="15">
      <c r="A15" s="78" t="s">
        <v>77</v>
      </c>
      <c r="B15" s="79">
        <v>2551714.0</v>
      </c>
      <c r="C15" s="58"/>
      <c r="E15" s="78" t="s">
        <v>77</v>
      </c>
      <c r="F15" s="79">
        <v>2220671.0</v>
      </c>
      <c r="G15" s="170"/>
      <c r="I15" s="78" t="s">
        <v>77</v>
      </c>
      <c r="J15" s="79">
        <v>6435619.0</v>
      </c>
      <c r="K15" s="58"/>
    </row>
    <row r="16">
      <c r="A16" s="78" t="s">
        <v>78</v>
      </c>
      <c r="B16" s="80"/>
      <c r="C16" s="58"/>
      <c r="E16" s="78" t="s">
        <v>78</v>
      </c>
      <c r="F16" s="181"/>
      <c r="G16" s="170"/>
      <c r="I16" s="78" t="s">
        <v>78</v>
      </c>
      <c r="J16" s="80"/>
      <c r="K16" s="58"/>
    </row>
    <row r="17">
      <c r="A17" s="78" t="s">
        <v>79</v>
      </c>
      <c r="B17" s="79">
        <v>51714.0</v>
      </c>
      <c r="C17" s="58"/>
      <c r="E17" s="78" t="s">
        <v>79</v>
      </c>
      <c r="F17" s="79">
        <v>20671.0</v>
      </c>
      <c r="G17" s="170"/>
      <c r="I17" s="78" t="s">
        <v>79</v>
      </c>
      <c r="J17" s="79">
        <v>1435619.0</v>
      </c>
      <c r="K17" s="58"/>
    </row>
    <row r="18">
      <c r="A18" s="82"/>
      <c r="B18" s="80"/>
      <c r="C18" s="58"/>
      <c r="E18" s="182"/>
      <c r="F18" s="181"/>
      <c r="G18" s="170"/>
      <c r="I18" s="82"/>
      <c r="J18" s="80"/>
      <c r="K18" s="58"/>
    </row>
    <row r="19">
      <c r="A19" s="59" t="s">
        <v>80</v>
      </c>
      <c r="B19" s="66">
        <v>2500000.0</v>
      </c>
      <c r="C19" s="58"/>
      <c r="E19" s="59" t="s">
        <v>80</v>
      </c>
      <c r="F19" s="66">
        <v>2200000.0</v>
      </c>
      <c r="G19" s="170"/>
      <c r="I19" s="59" t="s">
        <v>80</v>
      </c>
      <c r="J19" s="66">
        <v>5000000.0</v>
      </c>
      <c r="K19" s="58"/>
    </row>
    <row r="20">
      <c r="A20" s="83" t="s">
        <v>81</v>
      </c>
      <c r="B20" s="84">
        <v>25000.0</v>
      </c>
      <c r="C20" s="58"/>
      <c r="E20" s="83" t="s">
        <v>81</v>
      </c>
      <c r="F20" s="84">
        <v>22000.0</v>
      </c>
      <c r="G20" s="170"/>
      <c r="I20" s="83" t="s">
        <v>81</v>
      </c>
      <c r="J20" s="84">
        <v>50000.0</v>
      </c>
      <c r="K20" s="58"/>
    </row>
    <row r="21">
      <c r="A21" s="183"/>
      <c r="B21" s="86"/>
      <c r="C21" s="86"/>
      <c r="E21" s="184"/>
      <c r="F21" s="86"/>
      <c r="G21" s="86"/>
      <c r="I21" s="183"/>
      <c r="J21" s="86"/>
      <c r="K21" s="86"/>
    </row>
    <row r="22">
      <c r="A22" s="87" t="s">
        <v>82</v>
      </c>
      <c r="B22" s="88" t="s">
        <v>83</v>
      </c>
      <c r="C22" s="88" t="s">
        <v>83</v>
      </c>
      <c r="E22" s="87" t="s">
        <v>82</v>
      </c>
      <c r="F22" s="88" t="s">
        <v>83</v>
      </c>
      <c r="G22" s="88" t="s">
        <v>83</v>
      </c>
      <c r="I22" s="87" t="s">
        <v>82</v>
      </c>
      <c r="J22" s="88" t="s">
        <v>83</v>
      </c>
      <c r="K22" s="88" t="s">
        <v>83</v>
      </c>
    </row>
    <row r="23">
      <c r="A23" s="91" t="s">
        <v>85</v>
      </c>
      <c r="B23" s="92">
        <v>0.0</v>
      </c>
      <c r="C23" s="93">
        <v>0.0</v>
      </c>
      <c r="E23" s="91" t="s">
        <v>85</v>
      </c>
      <c r="F23" s="92">
        <v>0.0</v>
      </c>
      <c r="G23" s="197">
        <v>0.0</v>
      </c>
      <c r="I23" s="91" t="s">
        <v>85</v>
      </c>
      <c r="J23" s="92">
        <v>0.0</v>
      </c>
      <c r="K23" s="93">
        <v>0.0</v>
      </c>
    </row>
    <row r="24">
      <c r="A24" s="91" t="s">
        <v>86</v>
      </c>
      <c r="B24" s="92">
        <v>0.2</v>
      </c>
      <c r="C24" s="96">
        <v>0.0</v>
      </c>
      <c r="E24" s="91" t="s">
        <v>86</v>
      </c>
      <c r="F24" s="92">
        <v>0.28</v>
      </c>
      <c r="G24" s="198">
        <v>0.0</v>
      </c>
      <c r="I24" s="91" t="s">
        <v>86</v>
      </c>
      <c r="J24" s="92">
        <v>0.27</v>
      </c>
      <c r="K24" s="96">
        <v>0.0</v>
      </c>
    </row>
    <row r="25">
      <c r="A25" s="91" t="s">
        <v>87</v>
      </c>
      <c r="B25" s="92">
        <v>0.37</v>
      </c>
      <c r="C25" s="98">
        <v>0.0</v>
      </c>
      <c r="E25" s="91" t="s">
        <v>87</v>
      </c>
      <c r="F25" s="92">
        <v>0.34</v>
      </c>
      <c r="G25" s="98">
        <v>0.0</v>
      </c>
      <c r="I25" s="91" t="s">
        <v>87</v>
      </c>
      <c r="J25" s="92">
        <v>0.48</v>
      </c>
      <c r="K25" s="98">
        <v>0.0</v>
      </c>
    </row>
    <row r="26">
      <c r="A26" s="91" t="s">
        <v>88</v>
      </c>
      <c r="B26" s="92">
        <v>0.0</v>
      </c>
      <c r="C26" s="98">
        <v>0.0</v>
      </c>
      <c r="E26" s="91" t="s">
        <v>88</v>
      </c>
      <c r="F26" s="92">
        <v>0.0</v>
      </c>
      <c r="G26" s="98">
        <v>0.0</v>
      </c>
      <c r="I26" s="91" t="s">
        <v>88</v>
      </c>
      <c r="J26" s="92">
        <v>0.0</v>
      </c>
      <c r="K26" s="98">
        <v>0.0</v>
      </c>
    </row>
    <row r="27">
      <c r="A27" s="91" t="s">
        <v>89</v>
      </c>
      <c r="B27" s="92">
        <v>0.0</v>
      </c>
      <c r="C27" s="98">
        <v>0.0</v>
      </c>
      <c r="E27" s="91" t="s">
        <v>89</v>
      </c>
      <c r="F27" s="92">
        <v>0.0</v>
      </c>
      <c r="G27" s="98">
        <v>0.0</v>
      </c>
      <c r="I27" s="91" t="s">
        <v>89</v>
      </c>
      <c r="J27" s="92">
        <v>0.0</v>
      </c>
      <c r="K27" s="98">
        <v>0.0</v>
      </c>
    </row>
    <row r="28">
      <c r="A28" s="91" t="s">
        <v>90</v>
      </c>
      <c r="B28" s="92">
        <v>0.0</v>
      </c>
      <c r="C28" s="98">
        <v>0.0</v>
      </c>
      <c r="E28" s="91" t="s">
        <v>90</v>
      </c>
      <c r="F28" s="92">
        <v>0.0</v>
      </c>
      <c r="G28" s="98">
        <v>0.0</v>
      </c>
      <c r="I28" s="91" t="s">
        <v>90</v>
      </c>
      <c r="J28" s="92">
        <v>0.0</v>
      </c>
      <c r="K28" s="98">
        <v>0.0</v>
      </c>
    </row>
    <row r="29">
      <c r="A29" s="91" t="s">
        <v>91</v>
      </c>
      <c r="B29" s="92">
        <v>0.0</v>
      </c>
      <c r="C29" s="98">
        <v>0.0</v>
      </c>
      <c r="E29" s="91" t="s">
        <v>91</v>
      </c>
      <c r="F29" s="92">
        <v>0.0</v>
      </c>
      <c r="G29" s="98">
        <v>0.0</v>
      </c>
      <c r="I29" s="91" t="s">
        <v>91</v>
      </c>
      <c r="J29" s="92">
        <v>0.0</v>
      </c>
      <c r="K29" s="98">
        <v>0.0</v>
      </c>
    </row>
    <row r="30">
      <c r="A30" s="91" t="s">
        <v>92</v>
      </c>
      <c r="B30" s="92">
        <v>0.05</v>
      </c>
      <c r="C30" s="98">
        <v>0.0</v>
      </c>
      <c r="E30" s="91" t="s">
        <v>92</v>
      </c>
      <c r="F30" s="92">
        <v>0.03</v>
      </c>
      <c r="G30" s="98">
        <v>0.0</v>
      </c>
      <c r="I30" s="91" t="s">
        <v>92</v>
      </c>
      <c r="J30" s="92">
        <v>0.06</v>
      </c>
      <c r="K30" s="98">
        <v>0.0</v>
      </c>
    </row>
    <row r="31">
      <c r="A31" s="91" t="s">
        <v>93</v>
      </c>
      <c r="B31" s="92">
        <v>0.09</v>
      </c>
      <c r="C31" s="98">
        <v>0.0</v>
      </c>
      <c r="E31" s="91" t="s">
        <v>93</v>
      </c>
      <c r="F31" s="92">
        <v>0.07</v>
      </c>
      <c r="G31" s="98">
        <v>0.0</v>
      </c>
      <c r="I31" s="91" t="s">
        <v>93</v>
      </c>
      <c r="J31" s="92">
        <v>0.16</v>
      </c>
      <c r="K31" s="98">
        <v>0.0</v>
      </c>
    </row>
    <row r="32">
      <c r="A32" s="100" t="s">
        <v>94</v>
      </c>
      <c r="B32" s="101">
        <v>0.37</v>
      </c>
      <c r="C32" s="102">
        <v>3.01</v>
      </c>
      <c r="E32" s="100" t="s">
        <v>94</v>
      </c>
      <c r="F32" s="101">
        <v>0.34</v>
      </c>
      <c r="G32" s="102">
        <v>3.06</v>
      </c>
      <c r="I32" s="100" t="s">
        <v>94</v>
      </c>
      <c r="J32" s="101">
        <v>0.48</v>
      </c>
      <c r="K32" s="102">
        <v>3.9</v>
      </c>
    </row>
    <row r="33">
      <c r="A33" s="100" t="s">
        <v>95</v>
      </c>
      <c r="B33" s="101">
        <v>0.14</v>
      </c>
      <c r="C33" s="102">
        <v>6.59</v>
      </c>
      <c r="E33" s="100" t="s">
        <v>95</v>
      </c>
      <c r="F33" s="101">
        <v>0.1</v>
      </c>
      <c r="G33" s="102">
        <v>11.59</v>
      </c>
      <c r="I33" s="100" t="s">
        <v>95</v>
      </c>
      <c r="J33" s="101">
        <v>0.22</v>
      </c>
      <c r="K33" s="102">
        <v>7.87</v>
      </c>
    </row>
    <row r="34">
      <c r="A34" s="103" t="s">
        <v>96</v>
      </c>
      <c r="B34" s="104">
        <v>0.35</v>
      </c>
      <c r="C34" s="105">
        <v>2.82</v>
      </c>
      <c r="E34" s="103" t="s">
        <v>96</v>
      </c>
      <c r="F34" s="104">
        <v>0.33</v>
      </c>
      <c r="G34" s="105">
        <v>3.07</v>
      </c>
      <c r="I34" s="103" t="s">
        <v>96</v>
      </c>
      <c r="J34" s="104">
        <v>0.3</v>
      </c>
      <c r="K34" s="105">
        <v>3.38</v>
      </c>
    </row>
    <row r="35">
      <c r="A35" s="91" t="s">
        <v>97</v>
      </c>
      <c r="B35" s="92">
        <v>0.07</v>
      </c>
      <c r="C35" s="93">
        <v>0.0</v>
      </c>
      <c r="E35" s="91" t="s">
        <v>97</v>
      </c>
      <c r="F35" s="92">
        <v>0.06</v>
      </c>
      <c r="G35" s="197">
        <v>0.0</v>
      </c>
      <c r="I35" s="91" t="s">
        <v>97</v>
      </c>
      <c r="J35" s="92">
        <v>0.0</v>
      </c>
      <c r="K35" s="93">
        <v>0.0</v>
      </c>
    </row>
    <row r="36">
      <c r="A36" s="91" t="s">
        <v>98</v>
      </c>
      <c r="B36" s="92">
        <v>0.06</v>
      </c>
      <c r="C36" s="93">
        <v>0.0</v>
      </c>
      <c r="E36" s="91" t="s">
        <v>98</v>
      </c>
      <c r="F36" s="92">
        <v>0.06</v>
      </c>
      <c r="G36" s="197">
        <v>0.0</v>
      </c>
      <c r="I36" s="91" t="s">
        <v>98</v>
      </c>
      <c r="J36" s="92">
        <v>0.0</v>
      </c>
      <c r="K36" s="93">
        <v>0.0</v>
      </c>
    </row>
    <row r="37">
      <c r="A37" s="91" t="s">
        <v>99</v>
      </c>
      <c r="B37" s="92">
        <v>0.02</v>
      </c>
      <c r="C37" s="96">
        <v>0.0</v>
      </c>
      <c r="E37" s="91" t="s">
        <v>99</v>
      </c>
      <c r="F37" s="92">
        <v>0.02</v>
      </c>
      <c r="G37" s="198">
        <v>0.0</v>
      </c>
      <c r="I37" s="91" t="s">
        <v>99</v>
      </c>
      <c r="J37" s="92">
        <v>0.02</v>
      </c>
      <c r="K37" s="96">
        <v>0.0</v>
      </c>
    </row>
    <row r="38">
      <c r="A38" s="189"/>
      <c r="B38" s="189"/>
      <c r="C38" s="190"/>
      <c r="E38" s="191"/>
      <c r="F38" s="191"/>
      <c r="G38" s="192"/>
      <c r="I38" s="189"/>
      <c r="J38" s="189"/>
      <c r="K38" s="190"/>
    </row>
    <row r="39">
      <c r="A39" s="110" t="s">
        <v>100</v>
      </c>
      <c r="B39" s="111">
        <v>0.2928</v>
      </c>
      <c r="C39" s="86"/>
      <c r="E39" s="110" t="s">
        <v>100</v>
      </c>
      <c r="F39" s="111">
        <v>0.255</v>
      </c>
      <c r="G39" s="192"/>
      <c r="I39" s="110" t="s">
        <v>100</v>
      </c>
      <c r="J39" s="111">
        <v>0.4456</v>
      </c>
      <c r="K39" s="86"/>
    </row>
    <row r="40">
      <c r="E40" s="184"/>
      <c r="F40" s="86"/>
      <c r="G40" s="86"/>
    </row>
  </sheetData>
  <mergeCells count="3">
    <mergeCell ref="A3:B3"/>
    <mergeCell ref="E3:F3"/>
    <mergeCell ref="I3:J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88"/>
    <col customWidth="1" min="3" max="3" width="10.25"/>
    <col customWidth="1" min="5" max="5" width="15.75"/>
    <col customWidth="1" min="6" max="6" width="13.88"/>
    <col customWidth="1" min="7" max="7" width="10.25"/>
    <col customWidth="1" min="9" max="9" width="15.75"/>
    <col customWidth="1" min="11" max="11" width="10.25"/>
    <col customWidth="1" min="13" max="13" width="15.75"/>
    <col customWidth="1" min="14" max="14" width="13.88"/>
    <col customWidth="1" min="15" max="15" width="10.25"/>
  </cols>
  <sheetData>
    <row r="1">
      <c r="A1" s="199" t="s">
        <v>114</v>
      </c>
      <c r="B1" s="169"/>
      <c r="C1" s="58"/>
      <c r="D1" s="86"/>
      <c r="E1" s="168" t="s">
        <v>111</v>
      </c>
      <c r="F1" s="86"/>
      <c r="G1" s="86"/>
      <c r="H1" s="86"/>
      <c r="I1" s="1" t="s">
        <v>112</v>
      </c>
      <c r="L1" s="86"/>
      <c r="M1" s="168" t="s">
        <v>113</v>
      </c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169"/>
      <c r="B2" s="169"/>
      <c r="C2" s="58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56" t="s">
        <v>101</v>
      </c>
      <c r="B3" s="57"/>
      <c r="C3" s="58"/>
      <c r="D3" s="86"/>
      <c r="E3" s="56" t="s">
        <v>101</v>
      </c>
      <c r="F3" s="57"/>
      <c r="G3" s="58"/>
      <c r="H3" s="86"/>
      <c r="I3" s="56" t="s">
        <v>101</v>
      </c>
      <c r="J3" s="57"/>
      <c r="K3" s="58"/>
      <c r="L3" s="86"/>
      <c r="M3" s="56" t="s">
        <v>101</v>
      </c>
      <c r="N3" s="57"/>
      <c r="O3" s="190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59" t="s">
        <v>67</v>
      </c>
      <c r="B4" s="60">
        <v>1.1374487E7</v>
      </c>
      <c r="C4" s="58"/>
      <c r="D4" s="86"/>
      <c r="E4" s="59" t="s">
        <v>67</v>
      </c>
      <c r="F4" s="60">
        <v>1.2555252E7</v>
      </c>
      <c r="G4" s="58"/>
      <c r="H4" s="86"/>
      <c r="I4" s="59" t="s">
        <v>67</v>
      </c>
      <c r="J4" s="60">
        <v>1.1503192E7</v>
      </c>
      <c r="K4" s="58"/>
      <c r="L4" s="86"/>
      <c r="M4" s="59" t="s">
        <v>67</v>
      </c>
      <c r="N4" s="60">
        <v>1.5572906E7</v>
      </c>
      <c r="O4" s="190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59" t="s">
        <v>68</v>
      </c>
      <c r="B5" s="60">
        <v>6119862.0</v>
      </c>
      <c r="C5" s="61"/>
      <c r="D5" s="86"/>
      <c r="E5" s="59" t="s">
        <v>68</v>
      </c>
      <c r="F5" s="60">
        <v>7616654.0</v>
      </c>
      <c r="G5" s="61"/>
      <c r="H5" s="86"/>
      <c r="I5" s="59" t="s">
        <v>68</v>
      </c>
      <c r="J5" s="60">
        <v>1.088454E7</v>
      </c>
      <c r="K5" s="61"/>
      <c r="L5" s="86"/>
      <c r="M5" s="59" t="s">
        <v>68</v>
      </c>
      <c r="N5" s="60">
        <v>1.4093836E7</v>
      </c>
      <c r="O5" s="200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59" t="s">
        <v>69</v>
      </c>
      <c r="B6" s="64">
        <v>5254625.0</v>
      </c>
      <c r="C6" s="65">
        <v>0.8586</v>
      </c>
      <c r="D6" s="86"/>
      <c r="E6" s="59" t="s">
        <v>69</v>
      </c>
      <c r="F6" s="64">
        <v>4938598.0</v>
      </c>
      <c r="G6" s="65">
        <v>0.6484</v>
      </c>
      <c r="H6" s="86"/>
      <c r="I6" s="59" t="s">
        <v>69</v>
      </c>
      <c r="J6" s="64">
        <v>618652.0</v>
      </c>
      <c r="K6" s="65">
        <v>0.0568</v>
      </c>
      <c r="L6" s="86"/>
      <c r="M6" s="59" t="s">
        <v>69</v>
      </c>
      <c r="N6" s="64">
        <v>1479070.0</v>
      </c>
      <c r="O6" s="65">
        <v>0.1049</v>
      </c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59" t="s">
        <v>70</v>
      </c>
      <c r="B7" s="66">
        <v>5367.0</v>
      </c>
      <c r="C7" s="58"/>
      <c r="D7" s="86"/>
      <c r="E7" s="59" t="s">
        <v>70</v>
      </c>
      <c r="F7" s="66">
        <v>5083.0</v>
      </c>
      <c r="G7" s="58"/>
      <c r="H7" s="86"/>
      <c r="I7" s="59" t="s">
        <v>70</v>
      </c>
      <c r="J7" s="66">
        <v>4473.0</v>
      </c>
      <c r="K7" s="58"/>
      <c r="L7" s="86"/>
      <c r="M7" s="59" t="s">
        <v>70</v>
      </c>
      <c r="N7" s="66">
        <v>3392.0</v>
      </c>
      <c r="O7" s="190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67" t="s">
        <v>71</v>
      </c>
      <c r="B8" s="68">
        <v>1797882.0</v>
      </c>
      <c r="C8" s="58"/>
      <c r="D8" s="86"/>
      <c r="E8" s="67" t="s">
        <v>71</v>
      </c>
      <c r="F8" s="68">
        <v>1806717.0</v>
      </c>
      <c r="G8" s="58"/>
      <c r="H8" s="86"/>
      <c r="I8" s="67" t="s">
        <v>71</v>
      </c>
      <c r="J8" s="68">
        <v>1941691.0</v>
      </c>
      <c r="K8" s="58"/>
      <c r="L8" s="86"/>
      <c r="M8" s="67" t="s">
        <v>71</v>
      </c>
      <c r="N8" s="68">
        <v>1907524.0</v>
      </c>
      <c r="O8" s="190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67" t="s">
        <v>72</v>
      </c>
      <c r="B9" s="68">
        <v>1077241.0</v>
      </c>
      <c r="C9" s="58"/>
      <c r="D9" s="86"/>
      <c r="E9" s="67" t="s">
        <v>72</v>
      </c>
      <c r="F9" s="68">
        <v>1017377.0</v>
      </c>
      <c r="G9" s="58"/>
      <c r="H9" s="86"/>
      <c r="I9" s="67" t="s">
        <v>72</v>
      </c>
      <c r="J9" s="68">
        <v>1172127.0</v>
      </c>
      <c r="K9" s="58"/>
      <c r="L9" s="86"/>
      <c r="M9" s="67" t="s">
        <v>72</v>
      </c>
      <c r="N9" s="68">
        <v>1140536.0</v>
      </c>
      <c r="O9" s="190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69" t="s">
        <v>73</v>
      </c>
      <c r="B10" s="70">
        <v>2875122.0</v>
      </c>
      <c r="C10" s="61"/>
      <c r="D10" s="86"/>
      <c r="E10" s="69" t="s">
        <v>73</v>
      </c>
      <c r="F10" s="70">
        <v>2824094.0</v>
      </c>
      <c r="G10" s="61"/>
      <c r="H10" s="86"/>
      <c r="I10" s="69" t="s">
        <v>73</v>
      </c>
      <c r="J10" s="70">
        <v>3113818.0</v>
      </c>
      <c r="K10" s="61"/>
      <c r="L10" s="86"/>
      <c r="M10" s="69" t="s">
        <v>73</v>
      </c>
      <c r="N10" s="70">
        <v>3048060.0</v>
      </c>
      <c r="O10" s="200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175" t="s">
        <v>74</v>
      </c>
      <c r="B11" s="176">
        <v>0.2528</v>
      </c>
      <c r="C11" s="177">
        <v>3.96</v>
      </c>
      <c r="D11" s="86"/>
      <c r="E11" s="175" t="s">
        <v>74</v>
      </c>
      <c r="F11" s="176">
        <v>0.2249</v>
      </c>
      <c r="G11" s="177">
        <v>4.45</v>
      </c>
      <c r="H11" s="86"/>
      <c r="I11" s="175" t="s">
        <v>74</v>
      </c>
      <c r="J11" s="176">
        <v>0.2707</v>
      </c>
      <c r="K11" s="177">
        <v>3.7</v>
      </c>
      <c r="L11" s="86"/>
      <c r="M11" s="175" t="s">
        <v>74</v>
      </c>
      <c r="N11" s="176">
        <v>0.1957</v>
      </c>
      <c r="O11" s="177">
        <v>5.11</v>
      </c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74" t="s">
        <v>75</v>
      </c>
      <c r="B12" s="75">
        <v>4699588.0</v>
      </c>
      <c r="C12" s="58"/>
      <c r="D12" s="86"/>
      <c r="E12" s="74" t="s">
        <v>75</v>
      </c>
      <c r="F12" s="75">
        <v>4200400.0</v>
      </c>
      <c r="G12" s="58"/>
      <c r="H12" s="86"/>
      <c r="I12" s="74" t="s">
        <v>75</v>
      </c>
      <c r="J12" s="75">
        <v>4336505.0</v>
      </c>
      <c r="K12" s="58"/>
      <c r="L12" s="86"/>
      <c r="M12" s="74" t="s">
        <v>75</v>
      </c>
      <c r="N12" s="75">
        <v>4334122.0</v>
      </c>
      <c r="O12" s="190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76"/>
      <c r="B13" s="77"/>
      <c r="C13" s="58"/>
      <c r="D13" s="86"/>
      <c r="E13" s="76"/>
      <c r="F13" s="77"/>
      <c r="G13" s="58"/>
      <c r="H13" s="86"/>
      <c r="I13" s="76"/>
      <c r="J13" s="77"/>
      <c r="K13" s="58"/>
      <c r="L13" s="86"/>
      <c r="M13" s="201"/>
      <c r="N13" s="202"/>
      <c r="O13" s="190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74" t="s">
        <v>76</v>
      </c>
      <c r="B14" s="75">
        <v>7574710.0</v>
      </c>
      <c r="C14" s="58"/>
      <c r="D14" s="86"/>
      <c r="E14" s="74" t="s">
        <v>76</v>
      </c>
      <c r="F14" s="75">
        <v>7024495.0</v>
      </c>
      <c r="G14" s="58"/>
      <c r="H14" s="86"/>
      <c r="I14" s="74" t="s">
        <v>76</v>
      </c>
      <c r="J14" s="75">
        <v>7450323.0</v>
      </c>
      <c r="K14" s="58"/>
      <c r="L14" s="86"/>
      <c r="M14" s="74" t="s">
        <v>76</v>
      </c>
      <c r="N14" s="75">
        <v>7382183.0</v>
      </c>
      <c r="O14" s="190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78" t="s">
        <v>77</v>
      </c>
      <c r="B15" s="79">
        <v>3799777.0</v>
      </c>
      <c r="C15" s="58"/>
      <c r="D15" s="86"/>
      <c r="E15" s="78" t="s">
        <v>77</v>
      </c>
      <c r="F15" s="79">
        <v>5530757.0</v>
      </c>
      <c r="G15" s="58"/>
      <c r="H15" s="86"/>
      <c r="I15" s="78" t="s">
        <v>77</v>
      </c>
      <c r="J15" s="79">
        <v>4052869.0</v>
      </c>
      <c r="K15" s="58"/>
      <c r="L15" s="86"/>
      <c r="M15" s="78" t="s">
        <v>77</v>
      </c>
      <c r="N15" s="79">
        <v>8190723.0</v>
      </c>
      <c r="O15" s="190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78" t="s">
        <v>78</v>
      </c>
      <c r="B16" s="80"/>
      <c r="C16" s="58"/>
      <c r="D16" s="86"/>
      <c r="E16" s="78" t="s">
        <v>78</v>
      </c>
      <c r="F16" s="80"/>
      <c r="G16" s="58"/>
      <c r="H16" s="86"/>
      <c r="I16" s="78" t="s">
        <v>78</v>
      </c>
      <c r="J16" s="80"/>
      <c r="K16" s="58"/>
      <c r="L16" s="86"/>
      <c r="M16" s="78" t="s">
        <v>78</v>
      </c>
      <c r="N16" s="203"/>
      <c r="O16" s="190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78" t="s">
        <v>79</v>
      </c>
      <c r="B17" s="81">
        <v>0.0</v>
      </c>
      <c r="C17" s="58"/>
      <c r="D17" s="86"/>
      <c r="E17" s="78" t="s">
        <v>79</v>
      </c>
      <c r="F17" s="79">
        <v>30757.0</v>
      </c>
      <c r="G17" s="58"/>
      <c r="H17" s="86"/>
      <c r="I17" s="78" t="s">
        <v>79</v>
      </c>
      <c r="J17" s="79">
        <v>2869.0</v>
      </c>
      <c r="K17" s="58"/>
      <c r="L17" s="86"/>
      <c r="M17" s="78" t="s">
        <v>79</v>
      </c>
      <c r="N17" s="79">
        <v>1190723.0</v>
      </c>
      <c r="O17" s="190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82"/>
      <c r="B18" s="80"/>
      <c r="C18" s="58"/>
      <c r="D18" s="86"/>
      <c r="E18" s="82"/>
      <c r="F18" s="80"/>
      <c r="G18" s="58"/>
      <c r="H18" s="86"/>
      <c r="I18" s="82"/>
      <c r="J18" s="80"/>
      <c r="K18" s="58"/>
      <c r="L18" s="86"/>
      <c r="M18" s="204"/>
      <c r="N18" s="203"/>
      <c r="O18" s="190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59" t="s">
        <v>80</v>
      </c>
      <c r="B19" s="66">
        <v>3799777.0</v>
      </c>
      <c r="C19" s="58"/>
      <c r="D19" s="86"/>
      <c r="E19" s="59" t="s">
        <v>80</v>
      </c>
      <c r="F19" s="66">
        <v>5500000.0</v>
      </c>
      <c r="G19" s="58"/>
      <c r="H19" s="86"/>
      <c r="I19" s="59" t="s">
        <v>80</v>
      </c>
      <c r="J19" s="66">
        <v>4050000.0</v>
      </c>
      <c r="K19" s="58"/>
      <c r="L19" s="86"/>
      <c r="M19" s="59" t="s">
        <v>80</v>
      </c>
      <c r="N19" s="66">
        <v>7000000.0</v>
      </c>
      <c r="O19" s="190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83" t="s">
        <v>81</v>
      </c>
      <c r="B20" s="84">
        <v>37998.0</v>
      </c>
      <c r="C20" s="58"/>
      <c r="D20" s="86"/>
      <c r="E20" s="83" t="s">
        <v>81</v>
      </c>
      <c r="F20" s="84">
        <v>55000.0</v>
      </c>
      <c r="G20" s="58"/>
      <c r="H20" s="86"/>
      <c r="I20" s="83" t="s">
        <v>81</v>
      </c>
      <c r="J20" s="84">
        <v>40500.0</v>
      </c>
      <c r="K20" s="58"/>
      <c r="L20" s="86"/>
      <c r="M20" s="83" t="s">
        <v>81</v>
      </c>
      <c r="N20" s="84">
        <v>70000.0</v>
      </c>
      <c r="O20" s="190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83"/>
      <c r="B21" s="86"/>
      <c r="C21" s="86"/>
      <c r="D21" s="86"/>
      <c r="E21" s="183"/>
      <c r="F21" s="86"/>
      <c r="G21" s="86"/>
      <c r="H21" s="86"/>
      <c r="I21" s="183"/>
      <c r="J21" s="86"/>
      <c r="K21" s="86"/>
      <c r="L21" s="86"/>
      <c r="M21" s="183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87" t="s">
        <v>82</v>
      </c>
      <c r="B22" s="88" t="s">
        <v>83</v>
      </c>
      <c r="C22" s="88" t="s">
        <v>84</v>
      </c>
      <c r="D22" s="86"/>
      <c r="E22" s="87" t="s">
        <v>82</v>
      </c>
      <c r="F22" s="88" t="s">
        <v>83</v>
      </c>
      <c r="G22" s="88" t="s">
        <v>84</v>
      </c>
      <c r="H22" s="86"/>
      <c r="I22" s="87" t="s">
        <v>82</v>
      </c>
      <c r="J22" s="88" t="s">
        <v>83</v>
      </c>
      <c r="K22" s="88" t="s">
        <v>84</v>
      </c>
      <c r="L22" s="86"/>
      <c r="M22" s="87" t="s">
        <v>82</v>
      </c>
      <c r="N22" s="88" t="s">
        <v>83</v>
      </c>
      <c r="O22" s="88" t="s">
        <v>84</v>
      </c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91" t="s">
        <v>85</v>
      </c>
      <c r="B23" s="92">
        <v>0.0</v>
      </c>
      <c r="C23" s="194"/>
      <c r="D23" s="86"/>
      <c r="E23" s="91" t="s">
        <v>85</v>
      </c>
      <c r="F23" s="92">
        <v>0.0</v>
      </c>
      <c r="G23" s="194"/>
      <c r="H23" s="86"/>
      <c r="I23" s="91" t="s">
        <v>85</v>
      </c>
      <c r="J23" s="92">
        <v>0.0</v>
      </c>
      <c r="K23" s="194"/>
      <c r="L23" s="86"/>
      <c r="M23" s="91" t="s">
        <v>85</v>
      </c>
      <c r="N23" s="92">
        <v>0.0</v>
      </c>
      <c r="O23" s="194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91" t="s">
        <v>86</v>
      </c>
      <c r="B24" s="92">
        <v>0.22</v>
      </c>
      <c r="C24" s="196"/>
      <c r="D24" s="86"/>
      <c r="E24" s="91" t="s">
        <v>86</v>
      </c>
      <c r="F24" s="92">
        <v>0.25</v>
      </c>
      <c r="G24" s="196"/>
      <c r="H24" s="86"/>
      <c r="I24" s="91" t="s">
        <v>86</v>
      </c>
      <c r="J24" s="92">
        <v>0.23</v>
      </c>
      <c r="K24" s="196"/>
      <c r="L24" s="86"/>
      <c r="M24" s="91" t="s">
        <v>86</v>
      </c>
      <c r="N24" s="92">
        <v>0.25</v>
      </c>
      <c r="O24" s="19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91" t="s">
        <v>87</v>
      </c>
      <c r="B25" s="92">
        <v>0.24</v>
      </c>
      <c r="C25" s="98">
        <v>4.36</v>
      </c>
      <c r="D25" s="86"/>
      <c r="E25" s="91" t="s">
        <v>87</v>
      </c>
      <c r="F25" s="92">
        <v>0.26</v>
      </c>
      <c r="G25" s="98">
        <v>4.85</v>
      </c>
      <c r="H25" s="86"/>
      <c r="I25" s="91" t="s">
        <v>87</v>
      </c>
      <c r="J25" s="92">
        <v>0.26</v>
      </c>
      <c r="K25" s="98">
        <v>4.07</v>
      </c>
      <c r="L25" s="86"/>
      <c r="M25" s="91" t="s">
        <v>87</v>
      </c>
      <c r="N25" s="92">
        <v>0.26</v>
      </c>
      <c r="O25" s="98">
        <v>5.62</v>
      </c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91" t="s">
        <v>88</v>
      </c>
      <c r="B26" s="92">
        <v>0.0</v>
      </c>
      <c r="C26" s="98">
        <v>0.0</v>
      </c>
      <c r="D26" s="86"/>
      <c r="E26" s="91" t="s">
        <v>88</v>
      </c>
      <c r="F26" s="92">
        <v>0.0</v>
      </c>
      <c r="G26" s="98">
        <v>0.0</v>
      </c>
      <c r="H26" s="86"/>
      <c r="I26" s="91" t="s">
        <v>88</v>
      </c>
      <c r="J26" s="92">
        <v>0.0</v>
      </c>
      <c r="K26" s="98">
        <v>0.0</v>
      </c>
      <c r="L26" s="86"/>
      <c r="M26" s="91" t="s">
        <v>88</v>
      </c>
      <c r="N26" s="92">
        <v>0.0</v>
      </c>
      <c r="O26" s="98">
        <v>0.0</v>
      </c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91" t="s">
        <v>89</v>
      </c>
      <c r="B27" s="92">
        <v>0.0</v>
      </c>
      <c r="C27" s="98">
        <v>0.0</v>
      </c>
      <c r="D27" s="86"/>
      <c r="E27" s="91" t="s">
        <v>89</v>
      </c>
      <c r="F27" s="92">
        <v>0.0</v>
      </c>
      <c r="G27" s="98">
        <v>0.0</v>
      </c>
      <c r="H27" s="86"/>
      <c r="I27" s="91" t="s">
        <v>89</v>
      </c>
      <c r="J27" s="92">
        <v>0.0</v>
      </c>
      <c r="K27" s="98">
        <v>0.0</v>
      </c>
      <c r="L27" s="86"/>
      <c r="M27" s="91" t="s">
        <v>89</v>
      </c>
      <c r="N27" s="92">
        <v>0.0</v>
      </c>
      <c r="O27" s="98">
        <v>0.0</v>
      </c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91" t="s">
        <v>90</v>
      </c>
      <c r="B28" s="92">
        <v>0.0</v>
      </c>
      <c r="C28" s="98">
        <v>0.0</v>
      </c>
      <c r="D28" s="86"/>
      <c r="E28" s="91" t="s">
        <v>90</v>
      </c>
      <c r="F28" s="92">
        <v>0.0</v>
      </c>
      <c r="G28" s="98">
        <v>0.0</v>
      </c>
      <c r="H28" s="86"/>
      <c r="I28" s="91" t="s">
        <v>90</v>
      </c>
      <c r="J28" s="92">
        <v>0.0</v>
      </c>
      <c r="K28" s="98">
        <v>0.0</v>
      </c>
      <c r="L28" s="86"/>
      <c r="M28" s="91" t="s">
        <v>90</v>
      </c>
      <c r="N28" s="92">
        <v>0.0</v>
      </c>
      <c r="O28" s="98">
        <v>0.0</v>
      </c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91" t="s">
        <v>91</v>
      </c>
      <c r="B29" s="92">
        <v>0.0</v>
      </c>
      <c r="C29" s="98">
        <v>0.0</v>
      </c>
      <c r="D29" s="86"/>
      <c r="E29" s="91" t="s">
        <v>91</v>
      </c>
      <c r="F29" s="92">
        <v>0.0</v>
      </c>
      <c r="G29" s="98">
        <v>0.0</v>
      </c>
      <c r="H29" s="86"/>
      <c r="I29" s="91" t="s">
        <v>91</v>
      </c>
      <c r="J29" s="92">
        <v>0.0</v>
      </c>
      <c r="K29" s="98">
        <v>0.0</v>
      </c>
      <c r="L29" s="86"/>
      <c r="M29" s="91" t="s">
        <v>91</v>
      </c>
      <c r="N29" s="92">
        <v>0.0</v>
      </c>
      <c r="O29" s="98">
        <v>0.0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91" t="s">
        <v>92</v>
      </c>
      <c r="B30" s="92">
        <v>0.07</v>
      </c>
      <c r="C30" s="98">
        <v>3.67</v>
      </c>
      <c r="D30" s="86"/>
      <c r="E30" s="91" t="s">
        <v>92</v>
      </c>
      <c r="F30" s="92">
        <v>0.07</v>
      </c>
      <c r="G30" s="98">
        <v>3.91</v>
      </c>
      <c r="H30" s="86"/>
      <c r="I30" s="91" t="s">
        <v>92</v>
      </c>
      <c r="J30" s="92">
        <v>0.08</v>
      </c>
      <c r="K30" s="98">
        <v>3.37</v>
      </c>
      <c r="L30" s="86"/>
      <c r="M30" s="91" t="s">
        <v>92</v>
      </c>
      <c r="N30" s="92">
        <v>0.08</v>
      </c>
      <c r="O30" s="98">
        <v>4.11</v>
      </c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91" t="s">
        <v>93</v>
      </c>
      <c r="B31" s="92">
        <v>0.08</v>
      </c>
      <c r="C31" s="98">
        <v>2.96</v>
      </c>
      <c r="D31" s="86"/>
      <c r="E31" s="91" t="s">
        <v>93</v>
      </c>
      <c r="F31" s="92">
        <v>0.07</v>
      </c>
      <c r="G31" s="98">
        <v>3.57</v>
      </c>
      <c r="H31" s="86"/>
      <c r="I31" s="91" t="s">
        <v>93</v>
      </c>
      <c r="J31" s="92">
        <v>0.08</v>
      </c>
      <c r="K31" s="98">
        <v>2.84</v>
      </c>
      <c r="L31" s="86"/>
      <c r="M31" s="91" t="s">
        <v>93</v>
      </c>
      <c r="N31" s="92">
        <v>0.08</v>
      </c>
      <c r="O31" s="98">
        <v>4.45</v>
      </c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100" t="s">
        <v>94</v>
      </c>
      <c r="B32" s="101">
        <v>0.24</v>
      </c>
      <c r="C32" s="102">
        <v>4.36</v>
      </c>
      <c r="D32" s="86"/>
      <c r="E32" s="100" t="s">
        <v>94</v>
      </c>
      <c r="F32" s="101">
        <v>0.26</v>
      </c>
      <c r="G32" s="102">
        <v>4.85</v>
      </c>
      <c r="H32" s="86"/>
      <c r="I32" s="100" t="s">
        <v>94</v>
      </c>
      <c r="J32" s="101">
        <v>0.26</v>
      </c>
      <c r="K32" s="102">
        <v>4.07</v>
      </c>
      <c r="L32" s="86"/>
      <c r="M32" s="100" t="s">
        <v>94</v>
      </c>
      <c r="N32" s="101">
        <v>0.26</v>
      </c>
      <c r="O32" s="102">
        <v>5.62</v>
      </c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100" t="s">
        <v>95</v>
      </c>
      <c r="B33" s="101">
        <v>0.14</v>
      </c>
      <c r="C33" s="102">
        <v>3.29</v>
      </c>
      <c r="D33" s="86"/>
      <c r="E33" s="100" t="s">
        <v>95</v>
      </c>
      <c r="F33" s="101">
        <v>0.14</v>
      </c>
      <c r="G33" s="102">
        <v>3.74</v>
      </c>
      <c r="H33" s="86"/>
      <c r="I33" s="100" t="s">
        <v>95</v>
      </c>
      <c r="J33" s="101">
        <v>0.16</v>
      </c>
      <c r="K33" s="102">
        <v>3.09</v>
      </c>
      <c r="L33" s="86"/>
      <c r="M33" s="100" t="s">
        <v>95</v>
      </c>
      <c r="N33" s="101">
        <v>0.15</v>
      </c>
      <c r="O33" s="102">
        <v>4.28</v>
      </c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103" t="s">
        <v>96</v>
      </c>
      <c r="B34" s="104">
        <v>0.25</v>
      </c>
      <c r="C34" s="105">
        <v>3.96</v>
      </c>
      <c r="D34" s="86"/>
      <c r="E34" s="103" t="s">
        <v>96</v>
      </c>
      <c r="F34" s="104">
        <v>0.22</v>
      </c>
      <c r="G34" s="105">
        <v>4.45</v>
      </c>
      <c r="H34" s="86"/>
      <c r="I34" s="103" t="s">
        <v>96</v>
      </c>
      <c r="J34" s="104">
        <v>0.27</v>
      </c>
      <c r="K34" s="105">
        <v>3.7</v>
      </c>
      <c r="L34" s="86"/>
      <c r="M34" s="103" t="s">
        <v>96</v>
      </c>
      <c r="N34" s="104">
        <v>0.2</v>
      </c>
      <c r="O34" s="105">
        <v>5.11</v>
      </c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91" t="s">
        <v>97</v>
      </c>
      <c r="B35" s="92">
        <v>0.16</v>
      </c>
      <c r="C35" s="194"/>
      <c r="D35" s="86"/>
      <c r="E35" s="91" t="s">
        <v>97</v>
      </c>
      <c r="F35" s="92">
        <v>0.17</v>
      </c>
      <c r="G35" s="194"/>
      <c r="H35" s="86"/>
      <c r="I35" s="91" t="s">
        <v>97</v>
      </c>
      <c r="J35" s="92">
        <v>0.16</v>
      </c>
      <c r="K35" s="194"/>
      <c r="L35" s="86"/>
      <c r="M35" s="91" t="s">
        <v>97</v>
      </c>
      <c r="N35" s="92">
        <v>0.17</v>
      </c>
      <c r="O35" s="194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91" t="s">
        <v>98</v>
      </c>
      <c r="B36" s="92">
        <v>0.03</v>
      </c>
      <c r="C36" s="194"/>
      <c r="D36" s="86"/>
      <c r="E36" s="91" t="s">
        <v>98</v>
      </c>
      <c r="F36" s="92">
        <v>0.03</v>
      </c>
      <c r="G36" s="194"/>
      <c r="H36" s="86"/>
      <c r="I36" s="91" t="s">
        <v>98</v>
      </c>
      <c r="J36" s="92">
        <v>0.03</v>
      </c>
      <c r="K36" s="194"/>
      <c r="L36" s="86"/>
      <c r="M36" s="91" t="s">
        <v>98</v>
      </c>
      <c r="N36" s="92">
        <v>0.03</v>
      </c>
      <c r="O36" s="194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91" t="s">
        <v>99</v>
      </c>
      <c r="B37" s="92">
        <v>0.02</v>
      </c>
      <c r="C37" s="196"/>
      <c r="D37" s="86"/>
      <c r="E37" s="91" t="s">
        <v>99</v>
      </c>
      <c r="F37" s="92">
        <v>0.02</v>
      </c>
      <c r="G37" s="196"/>
      <c r="H37" s="86"/>
      <c r="I37" s="91" t="s">
        <v>99</v>
      </c>
      <c r="J37" s="92">
        <v>0.03</v>
      </c>
      <c r="K37" s="196"/>
      <c r="L37" s="86"/>
      <c r="M37" s="91" t="s">
        <v>99</v>
      </c>
      <c r="N37" s="92">
        <v>0.02</v>
      </c>
      <c r="O37" s="19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89"/>
      <c r="B38" s="189"/>
      <c r="C38" s="190"/>
      <c r="D38" s="86"/>
      <c r="E38" s="189"/>
      <c r="F38" s="189"/>
      <c r="G38" s="190"/>
      <c r="H38" s="86"/>
      <c r="I38" s="189"/>
      <c r="J38" s="189"/>
      <c r="K38" s="190"/>
      <c r="L38" s="86"/>
      <c r="M38" s="189"/>
      <c r="N38" s="189"/>
      <c r="O38" s="190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10" t="s">
        <v>100</v>
      </c>
      <c r="B39" s="111">
        <v>0.3341</v>
      </c>
      <c r="C39" s="86"/>
      <c r="D39" s="86"/>
      <c r="E39" s="110" t="s">
        <v>100</v>
      </c>
      <c r="F39" s="111">
        <v>0.4381</v>
      </c>
      <c r="G39" s="86"/>
      <c r="H39" s="86"/>
      <c r="I39" s="110" t="s">
        <v>100</v>
      </c>
      <c r="J39" s="111">
        <v>0.3521</v>
      </c>
      <c r="K39" s="86"/>
      <c r="L39" s="86"/>
      <c r="M39" s="110" t="s">
        <v>100</v>
      </c>
      <c r="N39" s="111">
        <v>0.4495</v>
      </c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</row>
    <row r="995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</row>
    <row r="996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</row>
    <row r="997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</row>
    <row r="998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</row>
    <row r="999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</row>
    <row r="1000">
      <c r="A1000" s="86"/>
      <c r="B1000" s="86"/>
      <c r="C1000" s="86"/>
      <c r="D1000" s="86"/>
      <c r="E1000" s="86"/>
      <c r="F1000" s="86"/>
      <c r="G1000" s="86"/>
      <c r="H1000" s="86"/>
      <c r="I1000" s="86"/>
      <c r="J1000" s="86"/>
      <c r="K1000" s="86"/>
      <c r="L1000" s="86"/>
      <c r="M1000" s="86"/>
      <c r="N1000" s="86"/>
      <c r="O1000" s="86"/>
      <c r="P1000" s="86"/>
      <c r="Q1000" s="86"/>
      <c r="R1000" s="86"/>
      <c r="S1000" s="86"/>
      <c r="T1000" s="86"/>
      <c r="U1000" s="86"/>
      <c r="V1000" s="86"/>
      <c r="W1000" s="86"/>
      <c r="X1000" s="86"/>
      <c r="Y1000" s="86"/>
      <c r="Z1000" s="86"/>
    </row>
    <row r="1001">
      <c r="A1001" s="86"/>
      <c r="B1001" s="86"/>
      <c r="C1001" s="86"/>
      <c r="D1001" s="86"/>
      <c r="E1001" s="86"/>
      <c r="F1001" s="86"/>
      <c r="G1001" s="86"/>
      <c r="H1001" s="86"/>
      <c r="I1001" s="86"/>
      <c r="J1001" s="86"/>
      <c r="K1001" s="86"/>
      <c r="L1001" s="86"/>
      <c r="M1001" s="86"/>
      <c r="N1001" s="86"/>
      <c r="O1001" s="86"/>
      <c r="P1001" s="86"/>
      <c r="Q1001" s="86"/>
      <c r="R1001" s="86"/>
      <c r="S1001" s="86"/>
      <c r="T1001" s="86"/>
      <c r="U1001" s="86"/>
      <c r="V1001" s="86"/>
      <c r="W1001" s="86"/>
      <c r="X1001" s="86"/>
      <c r="Y1001" s="86"/>
      <c r="Z1001" s="86"/>
    </row>
    <row r="1002">
      <c r="A1002" s="86"/>
      <c r="B1002" s="86"/>
      <c r="C1002" s="86"/>
      <c r="D1002" s="86"/>
      <c r="E1002" s="86"/>
      <c r="F1002" s="86"/>
      <c r="G1002" s="86"/>
      <c r="H1002" s="86"/>
      <c r="I1002" s="86"/>
      <c r="J1002" s="86"/>
      <c r="K1002" s="86"/>
      <c r="L1002" s="86"/>
      <c r="M1002" s="86"/>
      <c r="N1002" s="86"/>
      <c r="O1002" s="86"/>
      <c r="P1002" s="86"/>
      <c r="Q1002" s="86"/>
      <c r="R1002" s="86"/>
      <c r="S1002" s="86"/>
      <c r="T1002" s="86"/>
      <c r="U1002" s="86"/>
      <c r="V1002" s="86"/>
      <c r="W1002" s="86"/>
      <c r="X1002" s="86"/>
      <c r="Y1002" s="86"/>
      <c r="Z1002" s="86"/>
    </row>
  </sheetData>
  <mergeCells count="4">
    <mergeCell ref="A3:B3"/>
    <mergeCell ref="E3:F3"/>
    <mergeCell ref="I3:J3"/>
    <mergeCell ref="M3:N3"/>
  </mergeCells>
  <drawing r:id="rId1"/>
</worksheet>
</file>